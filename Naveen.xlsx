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OMALI\Desktop\"/>
    </mc:Choice>
  </mc:AlternateContent>
  <xr:revisionPtr revIDLastSave="0" documentId="8_{47BBFC70-43F2-4FDD-AE59-8A8CEC2FF84D}" xr6:coauthVersionLast="47" xr6:coauthVersionMax="47" xr10:uidLastSave="{00000000-0000-0000-0000-000000000000}"/>
  <bookViews>
    <workbookView xWindow="-108" yWindow="-108" windowWidth="23256" windowHeight="12456" activeTab="2" xr2:uid="{86953BFF-E642-408D-99FD-B4E534342711}"/>
  </bookViews>
  <sheets>
    <sheet name="Transactions" sheetId="1" r:id="rId1"/>
    <sheet name="Sheet2" sheetId="3" r:id="rId2"/>
    <sheet name="Sheet4" sheetId="6" r:id="rId3"/>
    <sheet name="Budget" sheetId="2" r:id="rId4"/>
  </sheets>
  <definedNames>
    <definedName name="Slicer_Actual_spent">#N/A</definedName>
    <definedName name="Slicer_Category">#N/A</definedName>
    <definedName name="Slicer_Remaining">#N/A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2" i="2"/>
  <c r="F3" i="1"/>
  <c r="F4" i="1"/>
  <c r="F5" i="1"/>
  <c r="F6" i="1"/>
  <c r="F7" i="1"/>
  <c r="F8" i="1"/>
  <c r="F9" i="1"/>
  <c r="F10" i="1"/>
  <c r="F11" i="1"/>
  <c r="F12" i="1"/>
  <c r="F2" i="1"/>
  <c r="D3" i="2"/>
  <c r="D4" i="2"/>
  <c r="D5" i="2"/>
  <c r="D6" i="2"/>
  <c r="D7" i="2"/>
  <c r="D8" i="2"/>
  <c r="D9" i="2"/>
  <c r="D10" i="2"/>
  <c r="D11" i="2"/>
  <c r="D12" i="2"/>
  <c r="D2" i="2"/>
</calcChain>
</file>

<file path=xl/sharedStrings.xml><?xml version="1.0" encoding="utf-8"?>
<sst xmlns="http://schemas.openxmlformats.org/spreadsheetml/2006/main" count="128" uniqueCount="39">
  <si>
    <t>Date</t>
  </si>
  <si>
    <t>Category</t>
  </si>
  <si>
    <t>Type</t>
  </si>
  <si>
    <t>Actual amount</t>
  </si>
  <si>
    <t>Description</t>
  </si>
  <si>
    <t>Month</t>
  </si>
  <si>
    <t>Rent</t>
  </si>
  <si>
    <t>Food</t>
  </si>
  <si>
    <t>Transport</t>
  </si>
  <si>
    <t>Entertainment</t>
  </si>
  <si>
    <t>Savings</t>
  </si>
  <si>
    <t>Shopping</t>
  </si>
  <si>
    <t>Education</t>
  </si>
  <si>
    <t>Utilities</t>
  </si>
  <si>
    <t>Health care</t>
  </si>
  <si>
    <t>Freelance</t>
  </si>
  <si>
    <t>Salary</t>
  </si>
  <si>
    <t>Expense</t>
  </si>
  <si>
    <t>Income</t>
  </si>
  <si>
    <t>House rent</t>
  </si>
  <si>
    <t>Groceries</t>
  </si>
  <si>
    <t>Tax</t>
  </si>
  <si>
    <t>Movie night</t>
  </si>
  <si>
    <t>Monthly deposit</t>
  </si>
  <si>
    <t>Salary credit</t>
  </si>
  <si>
    <t>Clothing</t>
  </si>
  <si>
    <t>Online course</t>
  </si>
  <si>
    <t>Electricity bill</t>
  </si>
  <si>
    <t>Mediacal checkup</t>
  </si>
  <si>
    <t>Freelance project</t>
  </si>
  <si>
    <t>January</t>
  </si>
  <si>
    <t>Monthly budget</t>
  </si>
  <si>
    <t>Actual spent</t>
  </si>
  <si>
    <t>Remaining</t>
  </si>
  <si>
    <t>Row Labels</t>
  </si>
  <si>
    <t>Grand Total</t>
  </si>
  <si>
    <t>Sum of Monthly budget</t>
  </si>
  <si>
    <t>Sum of Actual spent</t>
  </si>
  <si>
    <t>Sum of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</si>
</sst>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Sum of Monthly budget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lvl>
              </c:multiLvlStrCache>
            </c:multiLvlStrRef>
          </c:cat>
          <c:val>
            <c:numRef>
              <c:f>Sheet2!$B$4:$B$26</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extLst>
            <c:ext xmlns:c16="http://schemas.microsoft.com/office/drawing/2014/chart" uri="{C3380CC4-5D6E-409C-BE32-E72D297353CC}">
              <c16:uniqueId val="{00000000-A7D1-4AEE-A24B-1AB434D1C187}"/>
            </c:ext>
          </c:extLst>
        </c:ser>
        <c:ser>
          <c:idx val="1"/>
          <c:order val="1"/>
          <c:tx>
            <c:strRef>
              <c:f>Sheet2!$C$3</c:f>
              <c:strCache>
                <c:ptCount val="1"/>
                <c:pt idx="0">
                  <c:v>Sum of Actual spent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lvl>
              </c:multiLvlStrCache>
            </c:multiLvlStrRef>
          </c:cat>
          <c:val>
            <c:numRef>
              <c:f>Sheet2!$C$4:$C$26</c:f>
              <c:numCache>
                <c:formatCode>General</c:formatCode>
                <c:ptCount val="11"/>
                <c:pt idx="0">
                  <c:v>700</c:v>
                </c:pt>
                <c:pt idx="1">
                  <c:v>100</c:v>
                </c:pt>
                <c:pt idx="2">
                  <c:v>250</c:v>
                </c:pt>
                <c:pt idx="3">
                  <c:v>730</c:v>
                </c:pt>
                <c:pt idx="4">
                  <c:v>550</c:v>
                </c:pt>
                <c:pt idx="5">
                  <c:v>500</c:v>
                </c:pt>
                <c:pt idx="6">
                  <c:v>2500</c:v>
                </c:pt>
                <c:pt idx="7">
                  <c:v>300</c:v>
                </c:pt>
                <c:pt idx="8">
                  <c:v>300</c:v>
                </c:pt>
                <c:pt idx="9">
                  <c:v>150</c:v>
                </c:pt>
                <c:pt idx="10">
                  <c:v>350</c:v>
                </c:pt>
              </c:numCache>
            </c:numRef>
          </c:val>
          <c:extLst>
            <c:ext xmlns:c16="http://schemas.microsoft.com/office/drawing/2014/chart" uri="{C3380CC4-5D6E-409C-BE32-E72D297353CC}">
              <c16:uniqueId val="{00000001-A7D1-4AEE-A24B-1AB434D1C1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Sheet2!$E$5:$E$16</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Sheet2!$F$5:$F$16</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extLst>
            <c:ext xmlns:c16="http://schemas.microsoft.com/office/drawing/2014/chart" uri="{C3380CC4-5D6E-409C-BE32-E72D297353CC}">
              <c16:uniqueId val="{00000000-E5E8-420F-90DD-67817FC64767}"/>
            </c:ext>
          </c:extLst>
        </c:ser>
        <c:ser>
          <c:idx val="1"/>
          <c:order val="1"/>
          <c:tx>
            <c:strRef>
              <c:f>Sheet2!$G$4</c:f>
              <c:strCache>
                <c:ptCount val="1"/>
                <c:pt idx="0">
                  <c:v>Sum of Remaining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Sheet2!$E$5:$E$16</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Sheet2!$G$5:$G$16</c:f>
              <c:numCache>
                <c:formatCode>General</c:formatCode>
                <c:ptCount val="11"/>
                <c:pt idx="0">
                  <c:v>200</c:v>
                </c:pt>
                <c:pt idx="1">
                  <c:v>50</c:v>
                </c:pt>
                <c:pt idx="2">
                  <c:v>250</c:v>
                </c:pt>
                <c:pt idx="3">
                  <c:v>70</c:v>
                </c:pt>
                <c:pt idx="4">
                  <c:v>100</c:v>
                </c:pt>
                <c:pt idx="5">
                  <c:v>500</c:v>
                </c:pt>
                <c:pt idx="6">
                  <c:v>500</c:v>
                </c:pt>
                <c:pt idx="7">
                  <c:v>0</c:v>
                </c:pt>
                <c:pt idx="8">
                  <c:v>100</c:v>
                </c:pt>
                <c:pt idx="9">
                  <c:v>50</c:v>
                </c:pt>
                <c:pt idx="10">
                  <c:v>50</c:v>
                </c:pt>
              </c:numCache>
            </c:numRef>
          </c:val>
          <c:extLst>
            <c:ext xmlns:c16="http://schemas.microsoft.com/office/drawing/2014/chart" uri="{C3380CC4-5D6E-409C-BE32-E72D297353CC}">
              <c16:uniqueId val="{00000001-E5E8-420F-90DD-67817FC64767}"/>
            </c:ext>
          </c:extLst>
        </c:ser>
        <c:dLbls>
          <c:dLblPos val="outEnd"/>
          <c:showLegendKey val="0"/>
          <c:showVal val="1"/>
          <c:showCatName val="0"/>
          <c:showSerName val="0"/>
          <c:showPercent val="0"/>
          <c:showBubbleSize val="0"/>
        </c:dLbls>
        <c:gapWidth val="219"/>
        <c:overlap val="-27"/>
        <c:axId val="260501536"/>
        <c:axId val="260502976"/>
      </c:barChart>
      <c:catAx>
        <c:axId val="2605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02976"/>
        <c:crosses val="autoZero"/>
        <c:auto val="1"/>
        <c:lblAlgn val="ctr"/>
        <c:lblOffset val="100"/>
        <c:noMultiLvlLbl val="0"/>
      </c:catAx>
      <c:valAx>
        <c:axId val="2605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0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[SUHARIKA.xlsx]Sheet2!PivotTable4</c:name>
    <c:fmtId val="1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Sheet2!$J$5</c:f>
              <c:strCache>
                <c:ptCount val="1"/>
                <c:pt idx="0">
                  <c:v>Sum of Monthly 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Sheet2!$I$6:$I$17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Sheet2!$J$6:$J$17</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smooth val="0"/>
          <c:extLst>
            <c:ext xmlns:c16="http://schemas.microsoft.com/office/drawing/2014/chart" uri="{C3380CC4-5D6E-409C-BE32-E72D297353CC}">
              <c16:uniqueId val="{00000000-92B7-4B11-A12A-3645534D151C}"/>
            </c:ext>
          </c:extLst>
        </c:ser>
        <c:ser>
          <c:idx val="1"/>
          <c:order val="1"/>
          <c:tx>
            <c:strRef>
              <c:f>Sheet2!$K$5</c:f>
              <c:strCache>
                <c:ptCount val="1"/>
                <c:pt idx="0">
                  <c:v>Sum of Actual spent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Sheet2!$I$6:$I$17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Sheet2!$K$6:$K$17</c:f>
              <c:numCache>
                <c:formatCode>General</c:formatCode>
                <c:ptCount val="11"/>
                <c:pt idx="0">
                  <c:v>700</c:v>
                </c:pt>
                <c:pt idx="1">
                  <c:v>100</c:v>
                </c:pt>
                <c:pt idx="2">
                  <c:v>250</c:v>
                </c:pt>
                <c:pt idx="3">
                  <c:v>730</c:v>
                </c:pt>
                <c:pt idx="4">
                  <c:v>550</c:v>
                </c:pt>
                <c:pt idx="5">
                  <c:v>500</c:v>
                </c:pt>
                <c:pt idx="6">
                  <c:v>2500</c:v>
                </c:pt>
                <c:pt idx="7">
                  <c:v>300</c:v>
                </c:pt>
                <c:pt idx="8">
                  <c:v>300</c:v>
                </c:pt>
                <c:pt idx="9">
                  <c:v>150</c:v>
                </c:pt>
                <c:pt idx="10">
                  <c:v>350</c:v>
                </c:pt>
              </c:numCache>
            </c:numRef>
          </c:val>
          <c:smooth val="0"/>
          <c:extLst>
            <c:ext xmlns:c16="http://schemas.microsoft.com/office/drawing/2014/chart" uri="{C3380CC4-5D6E-409C-BE32-E72D297353CC}">
              <c16:uniqueId val="{00000001-92B7-4B11-A12A-3645534D151C}"/>
            </c:ext>
          </c:extLst>
        </c:ser>
        <c:dLbls>
          <c:dLblPos val="t"/>
          <c:showLegendKey val="0"/>
          <c:showVal val="1"/>
          <c:showCatName val="0"/>
          <c:showSerName val="0"/>
          <c:showPercent val="0"/>
          <c:showBubbleSize val="0"/>
        </c:dLbls>
        <c:marker val="1"/>
        <c:smooth val="0"/>
        <c:axId val="385787424"/>
        <c:axId val="385785984"/>
      </c:lineChart>
      <c:catAx>
        <c:axId val="3857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85984"/>
        <c:crosses val="autoZero"/>
        <c:auto val="1"/>
        <c:lblAlgn val="ctr"/>
        <c:lblOffset val="100"/>
        <c:noMultiLvlLbl val="0"/>
      </c:catAx>
      <c:valAx>
        <c:axId val="38578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8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[SUHARIKA.xlsx]Sheet2!PivotTable5</c:name>
    <c:fmtId val="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Sheet2!$N$5</c:f>
              <c:strCache>
                <c:ptCount val="1"/>
                <c:pt idx="0">
                  <c:v>Sum of Monthly budget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Sheet2!$M$6:$M$17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Sheet2!$N$6:$N$17</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extLst>
            <c:ext xmlns:c16="http://schemas.microsoft.com/office/drawing/2014/chart" uri="{C3380CC4-5D6E-409C-BE32-E72D297353CC}">
              <c16:uniqueId val="{00000000-C28D-4870-8909-DEB92A4CE5ED}"/>
            </c:ext>
          </c:extLst>
        </c:ser>
        <c:ser>
          <c:idx val="1"/>
          <c:order val="1"/>
          <c:tx>
            <c:strRef>
              <c:f>Sheet2!$O$5</c:f>
              <c:strCache>
                <c:ptCount val="1"/>
                <c:pt idx="0">
                  <c:v>Sum of Actual spent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Sheet2!$M$6:$M$17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Sheet2!$O$6:$O$17</c:f>
              <c:numCache>
                <c:formatCode>General</c:formatCode>
                <c:ptCount val="11"/>
                <c:pt idx="0">
                  <c:v>700</c:v>
                </c:pt>
                <c:pt idx="1">
                  <c:v>100</c:v>
                </c:pt>
                <c:pt idx="2">
                  <c:v>250</c:v>
                </c:pt>
                <c:pt idx="3">
                  <c:v>730</c:v>
                </c:pt>
                <c:pt idx="4">
                  <c:v>550</c:v>
                </c:pt>
                <c:pt idx="5">
                  <c:v>500</c:v>
                </c:pt>
                <c:pt idx="6">
                  <c:v>2500</c:v>
                </c:pt>
                <c:pt idx="7">
                  <c:v>300</c:v>
                </c:pt>
                <c:pt idx="8">
                  <c:v>300</c:v>
                </c:pt>
                <c:pt idx="9">
                  <c:v>150</c:v>
                </c:pt>
                <c:pt idx="10">
                  <c:v>350</c:v>
                </c:pt>
              </c:numCache>
            </c:numRef>
          </c:val>
          <c:extLst>
            <c:ext xmlns:c16="http://schemas.microsoft.com/office/drawing/2014/chart" uri="{C3380CC4-5D6E-409C-BE32-E72D297353CC}">
              <c16:uniqueId val="{00000001-C28D-4870-8909-DEB92A4CE5ED}"/>
            </c:ext>
          </c:extLst>
        </c:ser>
        <c:ser>
          <c:idx val="2"/>
          <c:order val="2"/>
          <c:tx>
            <c:strRef>
              <c:f>Sheet2!$P$5</c:f>
              <c:strCache>
                <c:ptCount val="1"/>
                <c:pt idx="0">
                  <c:v>Sum of Remaining</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Sheet2!$M$6:$M$17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Sheet2!$P$6:$P$17</c:f>
              <c:numCache>
                <c:formatCode>General</c:formatCode>
                <c:ptCount val="11"/>
                <c:pt idx="0">
                  <c:v>200</c:v>
                </c:pt>
                <c:pt idx="1">
                  <c:v>50</c:v>
                </c:pt>
                <c:pt idx="2">
                  <c:v>250</c:v>
                </c:pt>
                <c:pt idx="3">
                  <c:v>70</c:v>
                </c:pt>
                <c:pt idx="4">
                  <c:v>100</c:v>
                </c:pt>
                <c:pt idx="5">
                  <c:v>500</c:v>
                </c:pt>
                <c:pt idx="6">
                  <c:v>500</c:v>
                </c:pt>
                <c:pt idx="7">
                  <c:v>0</c:v>
                </c:pt>
                <c:pt idx="8">
                  <c:v>100</c:v>
                </c:pt>
                <c:pt idx="9">
                  <c:v>50</c:v>
                </c:pt>
                <c:pt idx="10">
                  <c:v>50</c:v>
                </c:pt>
              </c:numCache>
            </c:numRef>
          </c:val>
          <c:extLst>
            <c:ext xmlns:c16="http://schemas.microsoft.com/office/drawing/2014/chart" uri="{C3380CC4-5D6E-409C-BE32-E72D297353CC}">
              <c16:uniqueId val="{00000002-C28D-4870-8909-DEB92A4CE5E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Sheet2!$B$3</c:f>
              <c:strCache>
                <c:ptCount val="1"/>
                <c:pt idx="0">
                  <c:v>Sum of Monthly budget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01-4F54-907B-E3289CF1C5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01-4F54-907B-E3289CF1C5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01-4F54-907B-E3289CF1C5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01-4F54-907B-E3289CF1C5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01-4F54-907B-E3289CF1C5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01-4F54-907B-E3289CF1C5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501-4F54-907B-E3289CF1C5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501-4F54-907B-E3289CF1C5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501-4F54-907B-E3289CF1C5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501-4F54-907B-E3289CF1C5C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501-4F54-907B-E3289CF1C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lvl>
              </c:multiLvlStrCache>
            </c:multiLvlStrRef>
          </c:cat>
          <c:val>
            <c:numRef>
              <c:f>Sheet2!$B$4:$B$26</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extLst>
            <c:ext xmlns:c16="http://schemas.microsoft.com/office/drawing/2014/chart" uri="{C3380CC4-5D6E-409C-BE32-E72D297353CC}">
              <c16:uniqueId val="{00000016-A501-4F54-907B-E3289CF1C5CA}"/>
            </c:ext>
          </c:extLst>
        </c:ser>
        <c:ser>
          <c:idx val="1"/>
          <c:order val="1"/>
          <c:tx>
            <c:strRef>
              <c:f>Sheet2!$C$3</c:f>
              <c:strCache>
                <c:ptCount val="1"/>
                <c:pt idx="0">
                  <c:v>Sum of Actual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A501-4F54-907B-E3289CF1C5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A501-4F54-907B-E3289CF1C5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A501-4F54-907B-E3289CF1C5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A501-4F54-907B-E3289CF1C5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A501-4F54-907B-E3289CF1C5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2-A501-4F54-907B-E3289CF1C5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4-A501-4F54-907B-E3289CF1C5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6-A501-4F54-907B-E3289CF1C5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8-A501-4F54-907B-E3289CF1C5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A-A501-4F54-907B-E3289CF1C5C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C-A501-4F54-907B-E3289CF1C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lvl>
              </c:multiLvlStrCache>
            </c:multiLvlStrRef>
          </c:cat>
          <c:val>
            <c:numRef>
              <c:f>Sheet2!$C$4:$C$26</c:f>
              <c:numCache>
                <c:formatCode>General</c:formatCode>
                <c:ptCount val="11"/>
                <c:pt idx="0">
                  <c:v>700</c:v>
                </c:pt>
                <c:pt idx="1">
                  <c:v>100</c:v>
                </c:pt>
                <c:pt idx="2">
                  <c:v>250</c:v>
                </c:pt>
                <c:pt idx="3">
                  <c:v>730</c:v>
                </c:pt>
                <c:pt idx="4">
                  <c:v>550</c:v>
                </c:pt>
                <c:pt idx="5">
                  <c:v>500</c:v>
                </c:pt>
                <c:pt idx="6">
                  <c:v>2500</c:v>
                </c:pt>
                <c:pt idx="7">
                  <c:v>300</c:v>
                </c:pt>
                <c:pt idx="8">
                  <c:v>300</c:v>
                </c:pt>
                <c:pt idx="9">
                  <c:v>150</c:v>
                </c:pt>
                <c:pt idx="10">
                  <c:v>350</c:v>
                </c:pt>
              </c:numCache>
            </c:numRef>
          </c:val>
          <c:extLst>
            <c:ext xmlns:c16="http://schemas.microsoft.com/office/drawing/2014/chart" uri="{C3380CC4-5D6E-409C-BE32-E72D297353CC}">
              <c16:uniqueId val="{0000002D-A501-4F54-907B-E3289CF1C5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Sheet2!$E$5:$E$16</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Sheet2!$F$5:$F$16</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extLst>
            <c:ext xmlns:c16="http://schemas.microsoft.com/office/drawing/2014/chart" uri="{C3380CC4-5D6E-409C-BE32-E72D297353CC}">
              <c16:uniqueId val="{00000000-3650-47EF-9834-05CC444F5106}"/>
            </c:ext>
          </c:extLst>
        </c:ser>
        <c:ser>
          <c:idx val="1"/>
          <c:order val="1"/>
          <c:tx>
            <c:strRef>
              <c:f>Sheet2!$G$4</c:f>
              <c:strCache>
                <c:ptCount val="1"/>
                <c:pt idx="0">
                  <c:v>Sum of Remaining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Sheet2!$E$5:$E$16</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Sheet2!$G$5:$G$16</c:f>
              <c:numCache>
                <c:formatCode>General</c:formatCode>
                <c:ptCount val="11"/>
                <c:pt idx="0">
                  <c:v>200</c:v>
                </c:pt>
                <c:pt idx="1">
                  <c:v>50</c:v>
                </c:pt>
                <c:pt idx="2">
                  <c:v>250</c:v>
                </c:pt>
                <c:pt idx="3">
                  <c:v>70</c:v>
                </c:pt>
                <c:pt idx="4">
                  <c:v>100</c:v>
                </c:pt>
                <c:pt idx="5">
                  <c:v>500</c:v>
                </c:pt>
                <c:pt idx="6">
                  <c:v>500</c:v>
                </c:pt>
                <c:pt idx="7">
                  <c:v>0</c:v>
                </c:pt>
                <c:pt idx="8">
                  <c:v>100</c:v>
                </c:pt>
                <c:pt idx="9">
                  <c:v>50</c:v>
                </c:pt>
                <c:pt idx="10">
                  <c:v>50</c:v>
                </c:pt>
              </c:numCache>
            </c:numRef>
          </c:val>
          <c:extLst>
            <c:ext xmlns:c16="http://schemas.microsoft.com/office/drawing/2014/chart" uri="{C3380CC4-5D6E-409C-BE32-E72D297353CC}">
              <c16:uniqueId val="{00000001-3650-47EF-9834-05CC444F5106}"/>
            </c:ext>
          </c:extLst>
        </c:ser>
        <c:dLbls>
          <c:dLblPos val="outEnd"/>
          <c:showLegendKey val="0"/>
          <c:showVal val="1"/>
          <c:showCatName val="0"/>
          <c:showSerName val="0"/>
          <c:showPercent val="0"/>
          <c:showBubbleSize val="0"/>
        </c:dLbls>
        <c:gapWidth val="219"/>
        <c:overlap val="-27"/>
        <c:axId val="260501536"/>
        <c:axId val="260502976"/>
      </c:barChart>
      <c:catAx>
        <c:axId val="2605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02976"/>
        <c:crosses val="autoZero"/>
        <c:auto val="1"/>
        <c:lblAlgn val="ctr"/>
        <c:lblOffset val="100"/>
        <c:noMultiLvlLbl val="0"/>
      </c:catAx>
      <c:valAx>
        <c:axId val="2605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0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[SUHARIKA.xlsx]Sheet2!PivotTable4</c:name>
    <c:fmtId val="1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Sheet2!$J$5</c:f>
              <c:strCache>
                <c:ptCount val="1"/>
                <c:pt idx="0">
                  <c:v>Sum of Monthly 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Sheet2!$I$6:$I$17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Sheet2!$J$6:$J$17</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smooth val="0"/>
          <c:extLst>
            <c:ext xmlns:c16="http://schemas.microsoft.com/office/drawing/2014/chart" uri="{C3380CC4-5D6E-409C-BE32-E72D297353CC}">
              <c16:uniqueId val="{00000000-0122-4156-B95B-97332C42E628}"/>
            </c:ext>
          </c:extLst>
        </c:ser>
        <c:ser>
          <c:idx val="1"/>
          <c:order val="1"/>
          <c:tx>
            <c:strRef>
              <c:f>Sheet2!$K$5</c:f>
              <c:strCache>
                <c:ptCount val="1"/>
                <c:pt idx="0">
                  <c:v>Sum of Actual spent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Sheet2!$I$6:$I$17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Sheet2!$K$6:$K$17</c:f>
              <c:numCache>
                <c:formatCode>General</c:formatCode>
                <c:ptCount val="11"/>
                <c:pt idx="0">
                  <c:v>700</c:v>
                </c:pt>
                <c:pt idx="1">
                  <c:v>100</c:v>
                </c:pt>
                <c:pt idx="2">
                  <c:v>250</c:v>
                </c:pt>
                <c:pt idx="3">
                  <c:v>730</c:v>
                </c:pt>
                <c:pt idx="4">
                  <c:v>550</c:v>
                </c:pt>
                <c:pt idx="5">
                  <c:v>500</c:v>
                </c:pt>
                <c:pt idx="6">
                  <c:v>2500</c:v>
                </c:pt>
                <c:pt idx="7">
                  <c:v>300</c:v>
                </c:pt>
                <c:pt idx="8">
                  <c:v>300</c:v>
                </c:pt>
                <c:pt idx="9">
                  <c:v>150</c:v>
                </c:pt>
                <c:pt idx="10">
                  <c:v>350</c:v>
                </c:pt>
              </c:numCache>
            </c:numRef>
          </c:val>
          <c:smooth val="0"/>
          <c:extLst>
            <c:ext xmlns:c16="http://schemas.microsoft.com/office/drawing/2014/chart" uri="{C3380CC4-5D6E-409C-BE32-E72D297353CC}">
              <c16:uniqueId val="{00000001-0122-4156-B95B-97332C42E628}"/>
            </c:ext>
          </c:extLst>
        </c:ser>
        <c:dLbls>
          <c:dLblPos val="t"/>
          <c:showLegendKey val="0"/>
          <c:showVal val="1"/>
          <c:showCatName val="0"/>
          <c:showSerName val="0"/>
          <c:showPercent val="0"/>
          <c:showBubbleSize val="0"/>
        </c:dLbls>
        <c:marker val="1"/>
        <c:smooth val="0"/>
        <c:axId val="385787424"/>
        <c:axId val="385785984"/>
      </c:lineChart>
      <c:catAx>
        <c:axId val="3857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85984"/>
        <c:crosses val="autoZero"/>
        <c:auto val="1"/>
        <c:lblAlgn val="ctr"/>
        <c:lblOffset val="100"/>
        <c:noMultiLvlLbl val="0"/>
      </c:catAx>
      <c:valAx>
        <c:axId val="38578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8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[SUHARIKA.xlsx]Sheet2!PivotTable5</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Sheet2!$N$5</c:f>
              <c:strCache>
                <c:ptCount val="1"/>
                <c:pt idx="0">
                  <c:v>Sum of Monthly budget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41-437A-892F-7C03885B5C9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41-437A-892F-7C03885B5C9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41-437A-892F-7C03885B5C9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C41-437A-892F-7C03885B5C9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C41-437A-892F-7C03885B5C9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C41-437A-892F-7C03885B5C9A}"/>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C41-437A-892F-7C03885B5C9A}"/>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C41-437A-892F-7C03885B5C9A}"/>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C41-437A-892F-7C03885B5C9A}"/>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C41-437A-892F-7C03885B5C9A}"/>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1C41-437A-892F-7C03885B5C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Sheet2!$M$6:$M$17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Sheet2!$N$6:$N$17</c:f>
              <c:numCache>
                <c:formatCode>General</c:formatCode>
                <c:ptCount val="11"/>
                <c:pt idx="0">
                  <c:v>900</c:v>
                </c:pt>
                <c:pt idx="1">
                  <c:v>150</c:v>
                </c:pt>
                <c:pt idx="2">
                  <c:v>500</c:v>
                </c:pt>
                <c:pt idx="3">
                  <c:v>800</c:v>
                </c:pt>
                <c:pt idx="4">
                  <c:v>650</c:v>
                </c:pt>
                <c:pt idx="5">
                  <c:v>1000</c:v>
                </c:pt>
                <c:pt idx="6">
                  <c:v>3000</c:v>
                </c:pt>
                <c:pt idx="7">
                  <c:v>300</c:v>
                </c:pt>
                <c:pt idx="8">
                  <c:v>400</c:v>
                </c:pt>
                <c:pt idx="9">
                  <c:v>200</c:v>
                </c:pt>
                <c:pt idx="10">
                  <c:v>400</c:v>
                </c:pt>
              </c:numCache>
            </c:numRef>
          </c:val>
          <c:extLst>
            <c:ext xmlns:c16="http://schemas.microsoft.com/office/drawing/2014/chart" uri="{C3380CC4-5D6E-409C-BE32-E72D297353CC}">
              <c16:uniqueId val="{00000016-1C41-437A-892F-7C03885B5C9A}"/>
            </c:ext>
          </c:extLst>
        </c:ser>
        <c:ser>
          <c:idx val="1"/>
          <c:order val="1"/>
          <c:tx>
            <c:strRef>
              <c:f>Sheet2!$O$5</c:f>
              <c:strCache>
                <c:ptCount val="1"/>
                <c:pt idx="0">
                  <c:v>Sum of Actual spent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1C41-437A-892F-7C03885B5C9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1C41-437A-892F-7C03885B5C9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1C41-437A-892F-7C03885B5C9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1C41-437A-892F-7C03885B5C9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1C41-437A-892F-7C03885B5C9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2-1C41-437A-892F-7C03885B5C9A}"/>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1C41-437A-892F-7C03885B5C9A}"/>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6-1C41-437A-892F-7C03885B5C9A}"/>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1C41-437A-892F-7C03885B5C9A}"/>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A-1C41-437A-892F-7C03885B5C9A}"/>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C-1C41-437A-892F-7C03885B5C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Sheet2!$M$6:$M$17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Sheet2!$O$6:$O$17</c:f>
              <c:numCache>
                <c:formatCode>General</c:formatCode>
                <c:ptCount val="11"/>
                <c:pt idx="0">
                  <c:v>700</c:v>
                </c:pt>
                <c:pt idx="1">
                  <c:v>100</c:v>
                </c:pt>
                <c:pt idx="2">
                  <c:v>250</c:v>
                </c:pt>
                <c:pt idx="3">
                  <c:v>730</c:v>
                </c:pt>
                <c:pt idx="4">
                  <c:v>550</c:v>
                </c:pt>
                <c:pt idx="5">
                  <c:v>500</c:v>
                </c:pt>
                <c:pt idx="6">
                  <c:v>2500</c:v>
                </c:pt>
                <c:pt idx="7">
                  <c:v>300</c:v>
                </c:pt>
                <c:pt idx="8">
                  <c:v>300</c:v>
                </c:pt>
                <c:pt idx="9">
                  <c:v>150</c:v>
                </c:pt>
                <c:pt idx="10">
                  <c:v>350</c:v>
                </c:pt>
              </c:numCache>
            </c:numRef>
          </c:val>
          <c:extLst>
            <c:ext xmlns:c16="http://schemas.microsoft.com/office/drawing/2014/chart" uri="{C3380CC4-5D6E-409C-BE32-E72D297353CC}">
              <c16:uniqueId val="{0000002D-1C41-437A-892F-7C03885B5C9A}"/>
            </c:ext>
          </c:extLst>
        </c:ser>
        <c:ser>
          <c:idx val="2"/>
          <c:order val="2"/>
          <c:tx>
            <c:strRef>
              <c:f>Sheet2!$P$5</c:f>
              <c:strCache>
                <c:ptCount val="1"/>
                <c:pt idx="0">
                  <c:v>Sum of Remaining</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1C41-437A-892F-7C03885B5C9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1C41-437A-892F-7C03885B5C9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1C41-437A-892F-7C03885B5C9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1C41-437A-892F-7C03885B5C9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1C41-437A-892F-7C03885B5C9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1C41-437A-892F-7C03885B5C9A}"/>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1C41-437A-892F-7C03885B5C9A}"/>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D-1C41-437A-892F-7C03885B5C9A}"/>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F-1C41-437A-892F-7C03885B5C9A}"/>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1-1C41-437A-892F-7C03885B5C9A}"/>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3-1C41-437A-892F-7C03885B5C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Sheet2!$M$6:$M$17</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Sheet2!$P$6:$P$17</c:f>
              <c:numCache>
                <c:formatCode>General</c:formatCode>
                <c:ptCount val="11"/>
                <c:pt idx="0">
                  <c:v>200</c:v>
                </c:pt>
                <c:pt idx="1">
                  <c:v>50</c:v>
                </c:pt>
                <c:pt idx="2">
                  <c:v>250</c:v>
                </c:pt>
                <c:pt idx="3">
                  <c:v>70</c:v>
                </c:pt>
                <c:pt idx="4">
                  <c:v>100</c:v>
                </c:pt>
                <c:pt idx="5">
                  <c:v>500</c:v>
                </c:pt>
                <c:pt idx="6">
                  <c:v>500</c:v>
                </c:pt>
                <c:pt idx="7">
                  <c:v>0</c:v>
                </c:pt>
                <c:pt idx="8">
                  <c:v>100</c:v>
                </c:pt>
                <c:pt idx="9">
                  <c:v>50</c:v>
                </c:pt>
                <c:pt idx="10">
                  <c:v>50</c:v>
                </c:pt>
              </c:numCache>
            </c:numRef>
          </c:val>
          <c:extLst>
            <c:ext xmlns:c16="http://schemas.microsoft.com/office/drawing/2014/chart" uri="{C3380CC4-5D6E-409C-BE32-E72D297353CC}">
              <c16:uniqueId val="{00000044-1C41-437A-892F-7C03885B5C9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xdr:colOff>
      <xdr:row>26</xdr:row>
      <xdr:rowOff>68580</xdr:rowOff>
    </xdr:from>
    <xdr:to>
      <xdr:col>2</xdr:col>
      <xdr:colOff>1143000</xdr:colOff>
      <xdr:row>37</xdr:row>
      <xdr:rowOff>38100</xdr:rowOff>
    </xdr:to>
    <xdr:graphicFrame macro="">
      <xdr:nvGraphicFramePr>
        <xdr:cNvPr id="4" name="Chart 3">
          <a:extLst>
            <a:ext uri="{FF2B5EF4-FFF2-40B4-BE49-F238E27FC236}">
              <a16:creationId xmlns:a16="http://schemas.microsoft.com/office/drawing/2014/main" id="{BF4D09D5-D4DE-7583-D17A-DE3D95B5B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16</xdr:row>
      <xdr:rowOff>152400</xdr:rowOff>
    </xdr:from>
    <xdr:to>
      <xdr:col>6</xdr:col>
      <xdr:colOff>1402080</xdr:colOff>
      <xdr:row>28</xdr:row>
      <xdr:rowOff>121920</xdr:rowOff>
    </xdr:to>
    <xdr:graphicFrame macro="">
      <xdr:nvGraphicFramePr>
        <xdr:cNvPr id="5" name="Chart 4">
          <a:extLst>
            <a:ext uri="{FF2B5EF4-FFF2-40B4-BE49-F238E27FC236}">
              <a16:creationId xmlns:a16="http://schemas.microsoft.com/office/drawing/2014/main" id="{14E4C03E-989F-74E6-AF98-1997E655C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18</xdr:row>
      <xdr:rowOff>0</xdr:rowOff>
    </xdr:from>
    <xdr:to>
      <xdr:col>11</xdr:col>
      <xdr:colOff>60960</xdr:colOff>
      <xdr:row>30</xdr:row>
      <xdr:rowOff>22860</xdr:rowOff>
    </xdr:to>
    <xdr:graphicFrame macro="">
      <xdr:nvGraphicFramePr>
        <xdr:cNvPr id="7" name="Chart 6">
          <a:extLst>
            <a:ext uri="{FF2B5EF4-FFF2-40B4-BE49-F238E27FC236}">
              <a16:creationId xmlns:a16="http://schemas.microsoft.com/office/drawing/2014/main" id="{9A3715AD-E7D9-5BA6-CDED-2185D71AF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17</xdr:row>
      <xdr:rowOff>175260</xdr:rowOff>
    </xdr:from>
    <xdr:to>
      <xdr:col>16</xdr:col>
      <xdr:colOff>7620</xdr:colOff>
      <xdr:row>31</xdr:row>
      <xdr:rowOff>60960</xdr:rowOff>
    </xdr:to>
    <xdr:graphicFrame macro="">
      <xdr:nvGraphicFramePr>
        <xdr:cNvPr id="8" name="Chart 7">
          <a:extLst>
            <a:ext uri="{FF2B5EF4-FFF2-40B4-BE49-F238E27FC236}">
              <a16:creationId xmlns:a16="http://schemas.microsoft.com/office/drawing/2014/main" id="{514ACEC9-FD56-BF6F-BA98-D37173652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388620</xdr:colOff>
      <xdr:row>31</xdr:row>
      <xdr:rowOff>0</xdr:rowOff>
    </xdr:from>
    <xdr:to>
      <xdr:col>5</xdr:col>
      <xdr:colOff>754380</xdr:colOff>
      <xdr:row>45</xdr:row>
      <xdr:rowOff>20955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2554AA5-9453-B69F-6BE1-871590D72E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54780" y="5669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746760</xdr:colOff>
      <xdr:row>30</xdr:row>
      <xdr:rowOff>175260</xdr:rowOff>
    </xdr:from>
    <xdr:to>
      <xdr:col>7</xdr:col>
      <xdr:colOff>121920</xdr:colOff>
      <xdr:row>45</xdr:row>
      <xdr:rowOff>13335</xdr:rowOff>
    </xdr:to>
    <mc:AlternateContent xmlns:mc="http://schemas.openxmlformats.org/markup-compatibility/2006">
      <mc:Choice xmlns:a14="http://schemas.microsoft.com/office/drawing/2010/main" Requires="a14">
        <xdr:graphicFrame macro="">
          <xdr:nvGraphicFramePr>
            <xdr:cNvPr id="10" name="Actual spent">
              <a:extLst>
                <a:ext uri="{FF2B5EF4-FFF2-40B4-BE49-F238E27FC236}">
                  <a16:creationId xmlns:a16="http://schemas.microsoft.com/office/drawing/2014/main" id="{8CC30CDC-32CD-51BF-AC23-E66C0B09562E}"/>
                </a:ext>
              </a:extLst>
            </xdr:cNvPr>
            <xdr:cNvGraphicFramePr/>
          </xdr:nvGraphicFramePr>
          <xdr:xfrm>
            <a:off x="0" y="0"/>
            <a:ext cx="0" cy="0"/>
          </xdr:xfrm>
          <a:graphic>
            <a:graphicData uri="http://schemas.microsoft.com/office/drawing/2010/slicer">
              <sle:slicer xmlns:sle="http://schemas.microsoft.com/office/drawing/2010/slicer" name="Actual spent"/>
            </a:graphicData>
          </a:graphic>
        </xdr:graphicFrame>
      </mc:Choice>
      <mc:Fallback>
        <xdr:sp macro="" textlink="">
          <xdr:nvSpPr>
            <xdr:cNvPr id="0" name=""/>
            <xdr:cNvSpPr>
              <a:spLocks noTextEdit="1"/>
            </xdr:cNvSpPr>
          </xdr:nvSpPr>
          <xdr:spPr>
            <a:xfrm>
              <a:off x="5775960" y="5661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30</xdr:row>
      <xdr:rowOff>106680</xdr:rowOff>
    </xdr:from>
    <xdr:to>
      <xdr:col>9</xdr:col>
      <xdr:colOff>373380</xdr:colOff>
      <xdr:row>44</xdr:row>
      <xdr:rowOff>127635</xdr:rowOff>
    </xdr:to>
    <mc:AlternateContent xmlns:mc="http://schemas.openxmlformats.org/markup-compatibility/2006">
      <mc:Choice xmlns:a14="http://schemas.microsoft.com/office/drawing/2010/main" Requires="a14">
        <xdr:graphicFrame macro="">
          <xdr:nvGraphicFramePr>
            <xdr:cNvPr id="11" name="Remaining">
              <a:extLst>
                <a:ext uri="{FF2B5EF4-FFF2-40B4-BE49-F238E27FC236}">
                  <a16:creationId xmlns:a16="http://schemas.microsoft.com/office/drawing/2014/main" id="{6E588574-D4C0-78BB-0D7E-6BD73A79D7AF}"/>
                </a:ext>
              </a:extLst>
            </xdr:cNvPr>
            <xdr:cNvGraphicFramePr/>
          </xdr:nvGraphicFramePr>
          <xdr:xfrm>
            <a:off x="0" y="0"/>
            <a:ext cx="0" cy="0"/>
          </xdr:xfrm>
          <a:graphic>
            <a:graphicData uri="http://schemas.microsoft.com/office/drawing/2010/slicer">
              <sle:slicer xmlns:sle="http://schemas.microsoft.com/office/drawing/2010/slicer" name="Remaining"/>
            </a:graphicData>
          </a:graphic>
        </xdr:graphicFrame>
      </mc:Choice>
      <mc:Fallback>
        <xdr:sp macro="" textlink="">
          <xdr:nvSpPr>
            <xdr:cNvPr id="0" name=""/>
            <xdr:cNvSpPr>
              <a:spLocks noTextEdit="1"/>
            </xdr:cNvSpPr>
          </xdr:nvSpPr>
          <xdr:spPr>
            <a:xfrm>
              <a:off x="7490460" y="5593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30480</xdr:rowOff>
    </xdr:from>
    <xdr:to>
      <xdr:col>22</xdr:col>
      <xdr:colOff>121920</xdr:colOff>
      <xdr:row>6</xdr:row>
      <xdr:rowOff>68580</xdr:rowOff>
    </xdr:to>
    <xdr:sp macro="" textlink="">
      <xdr:nvSpPr>
        <xdr:cNvPr id="2" name="Rectangle: Rounded Corners 1">
          <a:extLst>
            <a:ext uri="{FF2B5EF4-FFF2-40B4-BE49-F238E27FC236}">
              <a16:creationId xmlns:a16="http://schemas.microsoft.com/office/drawing/2014/main" id="{B4EF8EB4-A892-390F-2DEE-64C587D44230}"/>
            </a:ext>
          </a:extLst>
        </xdr:cNvPr>
        <xdr:cNvSpPr/>
      </xdr:nvSpPr>
      <xdr:spPr>
        <a:xfrm>
          <a:off x="0" y="213360"/>
          <a:ext cx="13533120" cy="952500"/>
        </a:xfrm>
        <a:prstGeom prst="roundRect">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1</xdr:row>
      <xdr:rowOff>76200</xdr:rowOff>
    </xdr:from>
    <xdr:to>
      <xdr:col>17</xdr:col>
      <xdr:colOff>243840</xdr:colOff>
      <xdr:row>5</xdr:row>
      <xdr:rowOff>0</xdr:rowOff>
    </xdr:to>
    <xdr:sp macro="" textlink="">
      <xdr:nvSpPr>
        <xdr:cNvPr id="3" name="TextBox 2">
          <a:extLst>
            <a:ext uri="{FF2B5EF4-FFF2-40B4-BE49-F238E27FC236}">
              <a16:creationId xmlns:a16="http://schemas.microsoft.com/office/drawing/2014/main" id="{539D9DDE-5C29-27FB-688B-31C7737A52E3}"/>
            </a:ext>
          </a:extLst>
        </xdr:cNvPr>
        <xdr:cNvSpPr txBox="1"/>
      </xdr:nvSpPr>
      <xdr:spPr>
        <a:xfrm>
          <a:off x="655320" y="259080"/>
          <a:ext cx="9951720" cy="655320"/>
        </a:xfrm>
        <a:prstGeom prst="rect">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IN" sz="1800" b="1">
              <a:latin typeface="Arial Black" panose="020B0A04020102020204" pitchFamily="34" charset="0"/>
            </a:rPr>
            <a:t>PERSONAL</a:t>
          </a:r>
          <a:r>
            <a:rPr lang="en-IN" sz="1800" b="1" baseline="0">
              <a:latin typeface="Arial Black" panose="020B0A04020102020204" pitchFamily="34" charset="0"/>
            </a:rPr>
            <a:t> FINANCE BUDGET DASHBOARD</a:t>
          </a:r>
          <a:endParaRPr lang="en-IN" sz="1800" b="1">
            <a:latin typeface="Arial Black" panose="020B0A04020102020204" pitchFamily="34" charset="0"/>
          </a:endParaRPr>
        </a:p>
      </xdr:txBody>
    </xdr:sp>
    <xdr:clientData/>
  </xdr:twoCellAnchor>
  <xdr:twoCellAnchor>
    <xdr:from>
      <xdr:col>0</xdr:col>
      <xdr:colOff>7620</xdr:colOff>
      <xdr:row>10</xdr:row>
      <xdr:rowOff>68580</xdr:rowOff>
    </xdr:from>
    <xdr:to>
      <xdr:col>6</xdr:col>
      <xdr:colOff>129540</xdr:colOff>
      <xdr:row>25</xdr:row>
      <xdr:rowOff>167640</xdr:rowOff>
    </xdr:to>
    <xdr:graphicFrame macro="">
      <xdr:nvGraphicFramePr>
        <xdr:cNvPr id="4" name="Chart 3">
          <a:extLst>
            <a:ext uri="{FF2B5EF4-FFF2-40B4-BE49-F238E27FC236}">
              <a16:creationId xmlns:a16="http://schemas.microsoft.com/office/drawing/2014/main" id="{CE87B517-FB7D-4F26-94CC-0DBB5002F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10</xdr:row>
      <xdr:rowOff>7620</xdr:rowOff>
    </xdr:from>
    <xdr:to>
      <xdr:col>14</xdr:col>
      <xdr:colOff>426720</xdr:colOff>
      <xdr:row>25</xdr:row>
      <xdr:rowOff>137160</xdr:rowOff>
    </xdr:to>
    <xdr:graphicFrame macro="">
      <xdr:nvGraphicFramePr>
        <xdr:cNvPr id="5" name="Chart 4">
          <a:extLst>
            <a:ext uri="{FF2B5EF4-FFF2-40B4-BE49-F238E27FC236}">
              <a16:creationId xmlns:a16="http://schemas.microsoft.com/office/drawing/2014/main" id="{0981E05B-EA44-4471-9F38-F884B2863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160020</xdr:colOff>
      <xdr:row>10</xdr:row>
      <xdr:rowOff>15240</xdr:rowOff>
    </xdr:from>
    <xdr:to>
      <xdr:col>21</xdr:col>
      <xdr:colOff>586740</xdr:colOff>
      <xdr:row>25</xdr:row>
      <xdr:rowOff>68580</xdr:rowOff>
    </xdr:to>
    <xdr:graphicFrame macro="">
      <xdr:nvGraphicFramePr>
        <xdr:cNvPr id="6" name="Chart 5">
          <a:extLst>
            <a:ext uri="{FF2B5EF4-FFF2-40B4-BE49-F238E27FC236}">
              <a16:creationId xmlns:a16="http://schemas.microsoft.com/office/drawing/2014/main" id="{8A9CF048-3C7A-49B0-B42D-01308CD0E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137160</xdr:rowOff>
    </xdr:from>
    <xdr:to>
      <xdr:col>7</xdr:col>
      <xdr:colOff>38100</xdr:colOff>
      <xdr:row>43</xdr:row>
      <xdr:rowOff>167640</xdr:rowOff>
    </xdr:to>
    <xdr:graphicFrame macro="">
      <xdr:nvGraphicFramePr>
        <xdr:cNvPr id="7" name="Chart 6">
          <a:extLst>
            <a:ext uri="{FF2B5EF4-FFF2-40B4-BE49-F238E27FC236}">
              <a16:creationId xmlns:a16="http://schemas.microsoft.com/office/drawing/2014/main" id="{4BEA9DC5-840B-4A7D-B762-4A58780F4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495300</xdr:colOff>
      <xdr:row>28</xdr:row>
      <xdr:rowOff>7620</xdr:rowOff>
    </xdr:from>
    <xdr:to>
      <xdr:col>10</xdr:col>
      <xdr:colOff>495300</xdr:colOff>
      <xdr:row>42</xdr:row>
      <xdr:rowOff>28575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D8AA86E0-C969-499C-97E6-1B0210E402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762500" y="5128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28</xdr:row>
      <xdr:rowOff>15240</xdr:rowOff>
    </xdr:from>
    <xdr:to>
      <xdr:col>14</xdr:col>
      <xdr:colOff>213360</xdr:colOff>
      <xdr:row>42</xdr:row>
      <xdr:rowOff>36195</xdr:rowOff>
    </xdr:to>
    <mc:AlternateContent xmlns:mc="http://schemas.openxmlformats.org/markup-compatibility/2006">
      <mc:Choice xmlns:a14="http://schemas.microsoft.com/office/drawing/2010/main" Requires="a14">
        <xdr:graphicFrame macro="">
          <xdr:nvGraphicFramePr>
            <xdr:cNvPr id="9" name="Actual spent 1">
              <a:extLst>
                <a:ext uri="{FF2B5EF4-FFF2-40B4-BE49-F238E27FC236}">
                  <a16:creationId xmlns:a16="http://schemas.microsoft.com/office/drawing/2014/main" id="{083CBDB2-0E5E-4479-A26F-0B1A8E3423A1}"/>
                </a:ext>
              </a:extLst>
            </xdr:cNvPr>
            <xdr:cNvGraphicFramePr/>
          </xdr:nvGraphicFramePr>
          <xdr:xfrm>
            <a:off x="0" y="0"/>
            <a:ext cx="0" cy="0"/>
          </xdr:xfrm>
          <a:graphic>
            <a:graphicData uri="http://schemas.microsoft.com/office/drawing/2010/slicer">
              <sle:slicer xmlns:sle="http://schemas.microsoft.com/office/drawing/2010/slicer" name="Actual spent 1"/>
            </a:graphicData>
          </a:graphic>
        </xdr:graphicFrame>
      </mc:Choice>
      <mc:Fallback>
        <xdr:sp macro="" textlink="">
          <xdr:nvSpPr>
            <xdr:cNvPr id="0" name=""/>
            <xdr:cNvSpPr>
              <a:spLocks noTextEdit="1"/>
            </xdr:cNvSpPr>
          </xdr:nvSpPr>
          <xdr:spPr>
            <a:xfrm>
              <a:off x="6918960" y="5135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548640</xdr:colOff>
      <xdr:row>28</xdr:row>
      <xdr:rowOff>60960</xdr:rowOff>
    </xdr:from>
    <xdr:to>
      <xdr:col>17</xdr:col>
      <xdr:colOff>548640</xdr:colOff>
      <xdr:row>42</xdr:row>
      <xdr:rowOff>81915</xdr:rowOff>
    </xdr:to>
    <mc:AlternateContent xmlns:mc="http://schemas.openxmlformats.org/markup-compatibility/2006">
      <mc:Choice xmlns:a14="http://schemas.microsoft.com/office/drawing/2010/main" Requires="a14">
        <xdr:graphicFrame macro="">
          <xdr:nvGraphicFramePr>
            <xdr:cNvPr id="10" name="Remaining 1">
              <a:extLst>
                <a:ext uri="{FF2B5EF4-FFF2-40B4-BE49-F238E27FC236}">
                  <a16:creationId xmlns:a16="http://schemas.microsoft.com/office/drawing/2014/main" id="{A7A4B0F8-EF9B-45A6-B771-78BC0ED09E75}"/>
                </a:ext>
              </a:extLst>
            </xdr:cNvPr>
            <xdr:cNvGraphicFramePr/>
          </xdr:nvGraphicFramePr>
          <xdr:xfrm>
            <a:off x="0" y="0"/>
            <a:ext cx="0" cy="0"/>
          </xdr:xfrm>
          <a:graphic>
            <a:graphicData uri="http://schemas.microsoft.com/office/drawing/2010/slicer">
              <sle:slicer xmlns:sle="http://schemas.microsoft.com/office/drawing/2010/slicer" name="Remaining 1"/>
            </a:graphicData>
          </a:graphic>
        </xdr:graphicFrame>
      </mc:Choice>
      <mc:Fallback>
        <xdr:sp macro="" textlink="">
          <xdr:nvSpPr>
            <xdr:cNvPr id="0" name=""/>
            <xdr:cNvSpPr>
              <a:spLocks noTextEdit="1"/>
            </xdr:cNvSpPr>
          </xdr:nvSpPr>
          <xdr:spPr>
            <a:xfrm>
              <a:off x="9083040" y="5181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152400</xdr:colOff>
      <xdr:row>4</xdr:row>
      <xdr:rowOff>160020</xdr:rowOff>
    </xdr:from>
    <xdr:to>
      <xdr:col>5</xdr:col>
      <xdr:colOff>403860</xdr:colOff>
      <xdr:row>8</xdr:row>
      <xdr:rowOff>167640</xdr:rowOff>
    </xdr:to>
    <xdr:sp macro="" textlink="">
      <xdr:nvSpPr>
        <xdr:cNvPr id="11" name="Rectangle: Rounded Corners 10">
          <a:extLst>
            <a:ext uri="{FF2B5EF4-FFF2-40B4-BE49-F238E27FC236}">
              <a16:creationId xmlns:a16="http://schemas.microsoft.com/office/drawing/2014/main" id="{E3588C9B-2200-C4D9-C0C0-C2844EA1A7E1}"/>
            </a:ext>
          </a:extLst>
        </xdr:cNvPr>
        <xdr:cNvSpPr/>
      </xdr:nvSpPr>
      <xdr:spPr>
        <a:xfrm>
          <a:off x="762000" y="891540"/>
          <a:ext cx="2689860" cy="7391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83820</xdr:colOff>
      <xdr:row>5</xdr:row>
      <xdr:rowOff>76200</xdr:rowOff>
    </xdr:from>
    <xdr:to>
      <xdr:col>13</xdr:col>
      <xdr:colOff>480060</xdr:colOff>
      <xdr:row>9</xdr:row>
      <xdr:rowOff>7620</xdr:rowOff>
    </xdr:to>
    <xdr:sp macro="" textlink="">
      <xdr:nvSpPr>
        <xdr:cNvPr id="12" name="Rectangle: Rounded Corners 11">
          <a:extLst>
            <a:ext uri="{FF2B5EF4-FFF2-40B4-BE49-F238E27FC236}">
              <a16:creationId xmlns:a16="http://schemas.microsoft.com/office/drawing/2014/main" id="{B817377D-2459-7985-8602-1A87078124B9}"/>
            </a:ext>
          </a:extLst>
        </xdr:cNvPr>
        <xdr:cNvSpPr/>
      </xdr:nvSpPr>
      <xdr:spPr>
        <a:xfrm>
          <a:off x="4960620" y="990600"/>
          <a:ext cx="3444240" cy="662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327660</xdr:colOff>
      <xdr:row>5</xdr:row>
      <xdr:rowOff>83820</xdr:rowOff>
    </xdr:from>
    <xdr:to>
      <xdr:col>21</xdr:col>
      <xdr:colOff>99060</xdr:colOff>
      <xdr:row>8</xdr:row>
      <xdr:rowOff>175260</xdr:rowOff>
    </xdr:to>
    <xdr:sp macro="" textlink="">
      <xdr:nvSpPr>
        <xdr:cNvPr id="13" name="Rectangle: Rounded Corners 12">
          <a:extLst>
            <a:ext uri="{FF2B5EF4-FFF2-40B4-BE49-F238E27FC236}">
              <a16:creationId xmlns:a16="http://schemas.microsoft.com/office/drawing/2014/main" id="{D5DF9B14-B2BE-EDF6-FDDB-B2F2131426FA}"/>
            </a:ext>
          </a:extLst>
        </xdr:cNvPr>
        <xdr:cNvSpPr/>
      </xdr:nvSpPr>
      <xdr:spPr>
        <a:xfrm>
          <a:off x="10081260" y="998220"/>
          <a:ext cx="2819400" cy="6400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xdr:col>
      <xdr:colOff>510540</xdr:colOff>
      <xdr:row>5</xdr:row>
      <xdr:rowOff>121920</xdr:rowOff>
    </xdr:from>
    <xdr:to>
      <xdr:col>5</xdr:col>
      <xdr:colOff>137160</xdr:colOff>
      <xdr:row>8</xdr:row>
      <xdr:rowOff>30480</xdr:rowOff>
    </xdr:to>
    <xdr:sp macro="" textlink="">
      <xdr:nvSpPr>
        <xdr:cNvPr id="14" name="TextBox 13">
          <a:extLst>
            <a:ext uri="{FF2B5EF4-FFF2-40B4-BE49-F238E27FC236}">
              <a16:creationId xmlns:a16="http://schemas.microsoft.com/office/drawing/2014/main" id="{CCA6ABFB-36DF-778E-836F-C59A5060FE86}"/>
            </a:ext>
          </a:extLst>
        </xdr:cNvPr>
        <xdr:cNvSpPr txBox="1"/>
      </xdr:nvSpPr>
      <xdr:spPr>
        <a:xfrm>
          <a:off x="1120140" y="1036320"/>
          <a:ext cx="2065020" cy="4572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200" b="1" i="1">
              <a:latin typeface="Consolas" panose="020B0609020204030204" pitchFamily="49" charset="0"/>
            </a:rPr>
            <a:t>MONTHLY BUDGET</a:t>
          </a:r>
        </a:p>
        <a:p>
          <a:pPr algn="ctr"/>
          <a:r>
            <a:rPr lang="en-IN" sz="1200" b="1" i="1">
              <a:latin typeface="Consolas" panose="020B0609020204030204" pitchFamily="49" charset="0"/>
            </a:rPr>
            <a:t>83%</a:t>
          </a:r>
        </a:p>
      </xdr:txBody>
    </xdr:sp>
    <xdr:clientData/>
  </xdr:twoCellAnchor>
  <xdr:twoCellAnchor>
    <xdr:from>
      <xdr:col>8</xdr:col>
      <xdr:colOff>441960</xdr:colOff>
      <xdr:row>5</xdr:row>
      <xdr:rowOff>175260</xdr:rowOff>
    </xdr:from>
    <xdr:to>
      <xdr:col>13</xdr:col>
      <xdr:colOff>213360</xdr:colOff>
      <xdr:row>8</xdr:row>
      <xdr:rowOff>106680</xdr:rowOff>
    </xdr:to>
    <xdr:sp macro="" textlink="">
      <xdr:nvSpPr>
        <xdr:cNvPr id="15" name="TextBox 14">
          <a:extLst>
            <a:ext uri="{FF2B5EF4-FFF2-40B4-BE49-F238E27FC236}">
              <a16:creationId xmlns:a16="http://schemas.microsoft.com/office/drawing/2014/main" id="{CD494FCD-C173-019D-97B0-D9B521C1D46F}"/>
            </a:ext>
          </a:extLst>
        </xdr:cNvPr>
        <xdr:cNvSpPr txBox="1"/>
      </xdr:nvSpPr>
      <xdr:spPr>
        <a:xfrm>
          <a:off x="5318760" y="1089660"/>
          <a:ext cx="2819400" cy="4800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IN" sz="1200" b="1" i="1">
              <a:latin typeface="Consolas" panose="020B0609020204030204" pitchFamily="49" charset="0"/>
            </a:rPr>
            <a:t>ACTUAL SPENT</a:t>
          </a:r>
        </a:p>
        <a:p>
          <a:pPr algn="ctr"/>
          <a:r>
            <a:rPr lang="en-IN" sz="1200" b="1" i="1">
              <a:latin typeface="Consolas" panose="020B0609020204030204" pitchFamily="49" charset="0"/>
            </a:rPr>
            <a:t>64.3</a:t>
          </a:r>
        </a:p>
      </xdr:txBody>
    </xdr:sp>
    <xdr:clientData/>
  </xdr:twoCellAnchor>
  <xdr:twoCellAnchor>
    <xdr:from>
      <xdr:col>17</xdr:col>
      <xdr:colOff>114300</xdr:colOff>
      <xdr:row>5</xdr:row>
      <xdr:rowOff>167640</xdr:rowOff>
    </xdr:from>
    <xdr:to>
      <xdr:col>20</xdr:col>
      <xdr:colOff>495300</xdr:colOff>
      <xdr:row>8</xdr:row>
      <xdr:rowOff>91440</xdr:rowOff>
    </xdr:to>
    <xdr:sp macro="" textlink="">
      <xdr:nvSpPr>
        <xdr:cNvPr id="16" name="TextBox 15">
          <a:extLst>
            <a:ext uri="{FF2B5EF4-FFF2-40B4-BE49-F238E27FC236}">
              <a16:creationId xmlns:a16="http://schemas.microsoft.com/office/drawing/2014/main" id="{D1357121-5E82-CB22-F3B4-50A3818F081C}"/>
            </a:ext>
          </a:extLst>
        </xdr:cNvPr>
        <xdr:cNvSpPr txBox="1"/>
      </xdr:nvSpPr>
      <xdr:spPr>
        <a:xfrm>
          <a:off x="10477500" y="1082040"/>
          <a:ext cx="2209800" cy="4724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200" b="1" i="1">
              <a:latin typeface="Consolas" panose="020B0609020204030204" pitchFamily="49" charset="0"/>
            </a:rPr>
            <a:t>REMAINING</a:t>
          </a:r>
        </a:p>
        <a:p>
          <a:pPr algn="ctr"/>
          <a:r>
            <a:rPr lang="en-IN" sz="1200" b="1" i="1">
              <a:latin typeface="Consolas" panose="020B0609020204030204" pitchFamily="49" charset="0"/>
            </a:rPr>
            <a:t>18.7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I" refreshedDate="46043.40053136574" createdVersion="8" refreshedVersion="8" minRefreshableVersion="3" recordCount="11" xr:uid="{68EBEC36-69C8-4C4B-AAFB-3D656EFAA2D2}">
  <cacheSource type="worksheet">
    <worksheetSource ref="A1:F12" sheet="Budget"/>
  </cacheSource>
  <cacheFields count="6">
    <cacheField name="Category" numFmtId="0">
      <sharedItems count="11">
        <s v="Rent"/>
        <s v="Food"/>
        <s v="Transport"/>
        <s v="Entertainment"/>
        <s v="Savings"/>
        <s v="Salary"/>
        <s v="Shopping"/>
        <s v="Education"/>
        <s v="Utilities"/>
        <s v="Health care"/>
        <s v="Freelance"/>
      </sharedItems>
    </cacheField>
    <cacheField name="Monthly budget" numFmtId="0">
      <sharedItems containsSemiMixedTypes="0" containsString="0" containsNumber="1" containsInteger="1" minValue="150" maxValue="3000"/>
    </cacheField>
    <cacheField name="Actual spent" numFmtId="0">
      <sharedItems containsSemiMixedTypes="0" containsString="0" containsNumber="1" containsInteger="1" minValue="100" maxValue="2500" count="10">
        <n v="500"/>
        <n v="250"/>
        <n v="150"/>
        <n v="100"/>
        <n v="300"/>
        <n v="2500"/>
        <n v="700"/>
        <n v="350"/>
        <n v="550"/>
        <n v="730"/>
      </sharedItems>
    </cacheField>
    <cacheField name="Remaining" numFmtId="0">
      <sharedItems containsSemiMixedTypes="0" containsString="0" containsNumber="1" containsInteger="1" minValue="0" maxValue="500" count="7">
        <n v="500"/>
        <n v="250"/>
        <n v="50"/>
        <n v="0"/>
        <n v="100"/>
        <n v="200"/>
        <n v="70"/>
      </sharedItems>
    </cacheField>
    <cacheField name="Month" numFmtId="0">
      <sharedItems count="1">
        <s v="January"/>
      </sharedItems>
    </cacheField>
    <cacheField name="Date" numFmtId="14">
      <sharedItems containsSemiMixedTypes="0" containsNonDate="0" containsDate="1" containsString="0" minDate="2025-01-01T00:00:00" maxDate="2025-01-12T00:00:00"/>
    </cacheField>
  </cacheFields>
  <extLst>
    <ext xmlns:x14="http://schemas.microsoft.com/office/spreadsheetml/2009/9/main" uri="{725AE2AE-9491-48be-B2B4-4EB974FC3084}">
      <x14:pivotCacheDefinition pivotCacheId="338927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1000"/>
    <x v="0"/>
    <x v="0"/>
    <x v="0"/>
    <d v="2025-01-01T00:00:00"/>
  </r>
  <r>
    <x v="1"/>
    <n v="500"/>
    <x v="1"/>
    <x v="1"/>
    <x v="0"/>
    <d v="2025-01-02T00:00:00"/>
  </r>
  <r>
    <x v="2"/>
    <n v="200"/>
    <x v="2"/>
    <x v="2"/>
    <x v="0"/>
    <d v="2025-01-03T00:00:00"/>
  </r>
  <r>
    <x v="3"/>
    <n v="150"/>
    <x v="3"/>
    <x v="2"/>
    <x v="0"/>
    <d v="2025-01-04T00:00:00"/>
  </r>
  <r>
    <x v="4"/>
    <n v="300"/>
    <x v="4"/>
    <x v="3"/>
    <x v="0"/>
    <d v="2025-01-05T00:00:00"/>
  </r>
  <r>
    <x v="5"/>
    <n v="3000"/>
    <x v="5"/>
    <x v="0"/>
    <x v="0"/>
    <d v="2025-01-06T00:00:00"/>
  </r>
  <r>
    <x v="6"/>
    <n v="400"/>
    <x v="4"/>
    <x v="4"/>
    <x v="0"/>
    <d v="2025-01-07T00:00:00"/>
  </r>
  <r>
    <x v="7"/>
    <n v="900"/>
    <x v="6"/>
    <x v="5"/>
    <x v="0"/>
    <d v="2025-01-08T00:00:00"/>
  </r>
  <r>
    <x v="8"/>
    <n v="400"/>
    <x v="7"/>
    <x v="2"/>
    <x v="0"/>
    <d v="2025-01-09T00:00:00"/>
  </r>
  <r>
    <x v="9"/>
    <n v="650"/>
    <x v="8"/>
    <x v="4"/>
    <x v="0"/>
    <d v="2025-01-10T00:00:00"/>
  </r>
  <r>
    <x v="10"/>
    <n v="800"/>
    <x v="9"/>
    <x v="6"/>
    <x v="0"/>
    <d v="2025-01-1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A6671-5BED-4C51-89C4-6B3733A4580D}"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5:P17" firstHeaderRow="0" firstDataRow="1" firstDataCol="1"/>
  <pivotFields count="6">
    <pivotField axis="axisRow" showAll="0">
      <items count="12">
        <item x="7"/>
        <item x="3"/>
        <item x="1"/>
        <item x="10"/>
        <item x="9"/>
        <item x="0"/>
        <item x="5"/>
        <item x="4"/>
        <item x="6"/>
        <item x="2"/>
        <item x="8"/>
        <item t="default"/>
      </items>
    </pivotField>
    <pivotField dataField="1" showAll="0"/>
    <pivotField dataField="1" showAll="0">
      <items count="11">
        <item x="3"/>
        <item x="2"/>
        <item x="1"/>
        <item x="4"/>
        <item x="7"/>
        <item x="0"/>
        <item x="8"/>
        <item x="6"/>
        <item x="9"/>
        <item x="5"/>
        <item t="default"/>
      </items>
    </pivotField>
    <pivotField dataField="1" showAll="0">
      <items count="8">
        <item x="3"/>
        <item x="2"/>
        <item x="6"/>
        <item x="4"/>
        <item x="5"/>
        <item x="1"/>
        <item x="0"/>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Monthly budget" fld="1" baseField="0" baseItem="0"/>
    <dataField name="Sum of Actual spent" fld="2" baseField="0" baseItem="0"/>
    <dataField name="Sum of Remaining" fld="3" baseField="0" baseItem="0"/>
  </dataFields>
  <chartFormats count="3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39" series="1">
      <pivotArea type="data" outline="0" fieldPosition="0">
        <references count="1">
          <reference field="4294967294" count="1" selected="0">
            <x v="0"/>
          </reference>
        </references>
      </pivotArea>
    </chartFormat>
    <chartFormat chart="7" format="40">
      <pivotArea type="data" outline="0" fieldPosition="0">
        <references count="2">
          <reference field="4294967294" count="1" selected="0">
            <x v="0"/>
          </reference>
          <reference field="0" count="1" selected="0">
            <x v="0"/>
          </reference>
        </references>
      </pivotArea>
    </chartFormat>
    <chartFormat chart="7" format="41">
      <pivotArea type="data" outline="0" fieldPosition="0">
        <references count="2">
          <reference field="4294967294" count="1" selected="0">
            <x v="0"/>
          </reference>
          <reference field="0" count="1" selected="0">
            <x v="1"/>
          </reference>
        </references>
      </pivotArea>
    </chartFormat>
    <chartFormat chart="7" format="42">
      <pivotArea type="data" outline="0" fieldPosition="0">
        <references count="2">
          <reference field="4294967294" count="1" selected="0">
            <x v="0"/>
          </reference>
          <reference field="0" count="1" selected="0">
            <x v="2"/>
          </reference>
        </references>
      </pivotArea>
    </chartFormat>
    <chartFormat chart="7" format="43">
      <pivotArea type="data" outline="0" fieldPosition="0">
        <references count="2">
          <reference field="4294967294" count="1" selected="0">
            <x v="0"/>
          </reference>
          <reference field="0" count="1" selected="0">
            <x v="3"/>
          </reference>
        </references>
      </pivotArea>
    </chartFormat>
    <chartFormat chart="7" format="44">
      <pivotArea type="data" outline="0" fieldPosition="0">
        <references count="2">
          <reference field="4294967294" count="1" selected="0">
            <x v="0"/>
          </reference>
          <reference field="0" count="1" selected="0">
            <x v="4"/>
          </reference>
        </references>
      </pivotArea>
    </chartFormat>
    <chartFormat chart="7" format="45">
      <pivotArea type="data" outline="0" fieldPosition="0">
        <references count="2">
          <reference field="4294967294" count="1" selected="0">
            <x v="0"/>
          </reference>
          <reference field="0" count="1" selected="0">
            <x v="5"/>
          </reference>
        </references>
      </pivotArea>
    </chartFormat>
    <chartFormat chart="7" format="46">
      <pivotArea type="data" outline="0" fieldPosition="0">
        <references count="2">
          <reference field="4294967294" count="1" selected="0">
            <x v="0"/>
          </reference>
          <reference field="0" count="1" selected="0">
            <x v="6"/>
          </reference>
        </references>
      </pivotArea>
    </chartFormat>
    <chartFormat chart="7" format="47">
      <pivotArea type="data" outline="0" fieldPosition="0">
        <references count="2">
          <reference field="4294967294" count="1" selected="0">
            <x v="0"/>
          </reference>
          <reference field="0" count="1" selected="0">
            <x v="7"/>
          </reference>
        </references>
      </pivotArea>
    </chartFormat>
    <chartFormat chart="7" format="48">
      <pivotArea type="data" outline="0" fieldPosition="0">
        <references count="2">
          <reference field="4294967294" count="1" selected="0">
            <x v="0"/>
          </reference>
          <reference field="0" count="1" selected="0">
            <x v="8"/>
          </reference>
        </references>
      </pivotArea>
    </chartFormat>
    <chartFormat chart="7" format="49">
      <pivotArea type="data" outline="0" fieldPosition="0">
        <references count="2">
          <reference field="4294967294" count="1" selected="0">
            <x v="0"/>
          </reference>
          <reference field="0" count="1" selected="0">
            <x v="9"/>
          </reference>
        </references>
      </pivotArea>
    </chartFormat>
    <chartFormat chart="7" format="50">
      <pivotArea type="data" outline="0" fieldPosition="0">
        <references count="2">
          <reference field="4294967294" count="1" selected="0">
            <x v="0"/>
          </reference>
          <reference field="0" count="1" selected="0">
            <x v="10"/>
          </reference>
        </references>
      </pivotArea>
    </chartFormat>
    <chartFormat chart="7" format="51" series="1">
      <pivotArea type="data" outline="0" fieldPosition="0">
        <references count="1">
          <reference field="4294967294" count="1" selected="0">
            <x v="1"/>
          </reference>
        </references>
      </pivotArea>
    </chartFormat>
    <chartFormat chart="7" format="52">
      <pivotArea type="data" outline="0" fieldPosition="0">
        <references count="2">
          <reference field="4294967294" count="1" selected="0">
            <x v="1"/>
          </reference>
          <reference field="0" count="1" selected="0">
            <x v="0"/>
          </reference>
        </references>
      </pivotArea>
    </chartFormat>
    <chartFormat chart="7" format="53">
      <pivotArea type="data" outline="0" fieldPosition="0">
        <references count="2">
          <reference field="4294967294" count="1" selected="0">
            <x v="1"/>
          </reference>
          <reference field="0" count="1" selected="0">
            <x v="1"/>
          </reference>
        </references>
      </pivotArea>
    </chartFormat>
    <chartFormat chart="7" format="54">
      <pivotArea type="data" outline="0" fieldPosition="0">
        <references count="2">
          <reference field="4294967294" count="1" selected="0">
            <x v="1"/>
          </reference>
          <reference field="0" count="1" selected="0">
            <x v="2"/>
          </reference>
        </references>
      </pivotArea>
    </chartFormat>
    <chartFormat chart="7" format="55">
      <pivotArea type="data" outline="0" fieldPosition="0">
        <references count="2">
          <reference field="4294967294" count="1" selected="0">
            <x v="1"/>
          </reference>
          <reference field="0" count="1" selected="0">
            <x v="3"/>
          </reference>
        </references>
      </pivotArea>
    </chartFormat>
    <chartFormat chart="7" format="56">
      <pivotArea type="data" outline="0" fieldPosition="0">
        <references count="2">
          <reference field="4294967294" count="1" selected="0">
            <x v="1"/>
          </reference>
          <reference field="0" count="1" selected="0">
            <x v="4"/>
          </reference>
        </references>
      </pivotArea>
    </chartFormat>
    <chartFormat chart="7" format="57">
      <pivotArea type="data" outline="0" fieldPosition="0">
        <references count="2">
          <reference field="4294967294" count="1" selected="0">
            <x v="1"/>
          </reference>
          <reference field="0" count="1" selected="0">
            <x v="5"/>
          </reference>
        </references>
      </pivotArea>
    </chartFormat>
    <chartFormat chart="7" format="58">
      <pivotArea type="data" outline="0" fieldPosition="0">
        <references count="2">
          <reference field="4294967294" count="1" selected="0">
            <x v="1"/>
          </reference>
          <reference field="0" count="1" selected="0">
            <x v="6"/>
          </reference>
        </references>
      </pivotArea>
    </chartFormat>
    <chartFormat chart="7" format="59">
      <pivotArea type="data" outline="0" fieldPosition="0">
        <references count="2">
          <reference field="4294967294" count="1" selected="0">
            <x v="1"/>
          </reference>
          <reference field="0" count="1" selected="0">
            <x v="7"/>
          </reference>
        </references>
      </pivotArea>
    </chartFormat>
    <chartFormat chart="7" format="60">
      <pivotArea type="data" outline="0" fieldPosition="0">
        <references count="2">
          <reference field="4294967294" count="1" selected="0">
            <x v="1"/>
          </reference>
          <reference field="0" count="1" selected="0">
            <x v="8"/>
          </reference>
        </references>
      </pivotArea>
    </chartFormat>
    <chartFormat chart="7" format="61">
      <pivotArea type="data" outline="0" fieldPosition="0">
        <references count="2">
          <reference field="4294967294" count="1" selected="0">
            <x v="1"/>
          </reference>
          <reference field="0" count="1" selected="0">
            <x v="9"/>
          </reference>
        </references>
      </pivotArea>
    </chartFormat>
    <chartFormat chart="7" format="62">
      <pivotArea type="data" outline="0" fieldPosition="0">
        <references count="2">
          <reference field="4294967294" count="1" selected="0">
            <x v="1"/>
          </reference>
          <reference field="0" count="1" selected="0">
            <x v="10"/>
          </reference>
        </references>
      </pivotArea>
    </chartFormat>
    <chartFormat chart="7" format="63" series="1">
      <pivotArea type="data" outline="0" fieldPosition="0">
        <references count="1">
          <reference field="4294967294" count="1" selected="0">
            <x v="2"/>
          </reference>
        </references>
      </pivotArea>
    </chartFormat>
    <chartFormat chart="7" format="64">
      <pivotArea type="data" outline="0" fieldPosition="0">
        <references count="2">
          <reference field="4294967294" count="1" selected="0">
            <x v="2"/>
          </reference>
          <reference field="0" count="1" selected="0">
            <x v="0"/>
          </reference>
        </references>
      </pivotArea>
    </chartFormat>
    <chartFormat chart="7" format="65">
      <pivotArea type="data" outline="0" fieldPosition="0">
        <references count="2">
          <reference field="4294967294" count="1" selected="0">
            <x v="2"/>
          </reference>
          <reference field="0" count="1" selected="0">
            <x v="1"/>
          </reference>
        </references>
      </pivotArea>
    </chartFormat>
    <chartFormat chart="7" format="66">
      <pivotArea type="data" outline="0" fieldPosition="0">
        <references count="2">
          <reference field="4294967294" count="1" selected="0">
            <x v="2"/>
          </reference>
          <reference field="0" count="1" selected="0">
            <x v="2"/>
          </reference>
        </references>
      </pivotArea>
    </chartFormat>
    <chartFormat chart="7" format="67">
      <pivotArea type="data" outline="0" fieldPosition="0">
        <references count="2">
          <reference field="4294967294" count="1" selected="0">
            <x v="2"/>
          </reference>
          <reference field="0" count="1" selected="0">
            <x v="3"/>
          </reference>
        </references>
      </pivotArea>
    </chartFormat>
    <chartFormat chart="7" format="68">
      <pivotArea type="data" outline="0" fieldPosition="0">
        <references count="2">
          <reference field="4294967294" count="1" selected="0">
            <x v="2"/>
          </reference>
          <reference field="0" count="1" selected="0">
            <x v="4"/>
          </reference>
        </references>
      </pivotArea>
    </chartFormat>
    <chartFormat chart="7" format="69">
      <pivotArea type="data" outline="0" fieldPosition="0">
        <references count="2">
          <reference field="4294967294" count="1" selected="0">
            <x v="2"/>
          </reference>
          <reference field="0" count="1" selected="0">
            <x v="5"/>
          </reference>
        </references>
      </pivotArea>
    </chartFormat>
    <chartFormat chart="7" format="70">
      <pivotArea type="data" outline="0" fieldPosition="0">
        <references count="2">
          <reference field="4294967294" count="1" selected="0">
            <x v="2"/>
          </reference>
          <reference field="0" count="1" selected="0">
            <x v="6"/>
          </reference>
        </references>
      </pivotArea>
    </chartFormat>
    <chartFormat chart="7" format="71">
      <pivotArea type="data" outline="0" fieldPosition="0">
        <references count="2">
          <reference field="4294967294" count="1" selected="0">
            <x v="2"/>
          </reference>
          <reference field="0" count="1" selected="0">
            <x v="7"/>
          </reference>
        </references>
      </pivotArea>
    </chartFormat>
    <chartFormat chart="7" format="72">
      <pivotArea type="data" outline="0" fieldPosition="0">
        <references count="2">
          <reference field="4294967294" count="1" selected="0">
            <x v="2"/>
          </reference>
          <reference field="0" count="1" selected="0">
            <x v="8"/>
          </reference>
        </references>
      </pivotArea>
    </chartFormat>
    <chartFormat chart="7" format="73">
      <pivotArea type="data" outline="0" fieldPosition="0">
        <references count="2">
          <reference field="4294967294" count="1" selected="0">
            <x v="2"/>
          </reference>
          <reference field="0" count="1" selected="0">
            <x v="9"/>
          </reference>
        </references>
      </pivotArea>
    </chartFormat>
    <chartFormat chart="7" format="74">
      <pivotArea type="data" outline="0" fieldPosition="0">
        <references count="2">
          <reference field="4294967294" count="1" selected="0">
            <x v="2"/>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E546E-EF51-4585-9882-DE0F7A8F165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5:K17" firstHeaderRow="0" firstDataRow="1" firstDataCol="1"/>
  <pivotFields count="6">
    <pivotField axis="axisRow" showAll="0">
      <items count="12">
        <item x="7"/>
        <item x="3"/>
        <item x="1"/>
        <item x="10"/>
        <item x="9"/>
        <item x="0"/>
        <item x="5"/>
        <item x="4"/>
        <item x="6"/>
        <item x="2"/>
        <item x="8"/>
        <item t="default"/>
      </items>
    </pivotField>
    <pivotField dataField="1" showAll="0"/>
    <pivotField dataField="1" showAll="0">
      <items count="11">
        <item x="3"/>
        <item x="2"/>
        <item x="1"/>
        <item x="4"/>
        <item x="7"/>
        <item x="0"/>
        <item x="8"/>
        <item x="6"/>
        <item x="9"/>
        <item x="5"/>
        <item t="default"/>
      </items>
    </pivotField>
    <pivotField showAll="0">
      <items count="8">
        <item x="3"/>
        <item x="2"/>
        <item x="6"/>
        <item x="4"/>
        <item x="5"/>
        <item x="1"/>
        <item x="0"/>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Monthly budget" fld="1" baseField="0" baseItem="0"/>
    <dataField name="Sum of Actual spent" fld="2"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E3BA2C-4EF1-46C3-BF12-43B9196E9C9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G16" firstHeaderRow="0" firstDataRow="1" firstDataCol="1"/>
  <pivotFields count="6">
    <pivotField axis="axisRow" showAll="0">
      <items count="12">
        <item x="7"/>
        <item x="3"/>
        <item x="1"/>
        <item x="10"/>
        <item x="9"/>
        <item x="0"/>
        <item x="5"/>
        <item x="4"/>
        <item x="6"/>
        <item x="2"/>
        <item x="8"/>
        <item t="default"/>
      </items>
    </pivotField>
    <pivotField dataField="1" showAll="0"/>
    <pivotField showAll="0">
      <items count="11">
        <item x="3"/>
        <item x="2"/>
        <item x="1"/>
        <item x="4"/>
        <item x="7"/>
        <item x="0"/>
        <item x="8"/>
        <item x="6"/>
        <item x="9"/>
        <item x="5"/>
        <item t="default"/>
      </items>
    </pivotField>
    <pivotField dataField="1" showAll="0">
      <items count="8">
        <item x="3"/>
        <item x="2"/>
        <item x="6"/>
        <item x="4"/>
        <item x="5"/>
        <item x="1"/>
        <item x="0"/>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Monthly budget" fld="1" baseField="0" baseItem="0"/>
    <dataField name="Sum of Remaining" fld="3"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60CCE6-867F-4396-9C92-C3B823F2BB9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26" firstHeaderRow="0" firstDataRow="1" firstDataCol="1"/>
  <pivotFields count="6">
    <pivotField axis="axisRow" showAll="0">
      <items count="12">
        <item x="7"/>
        <item x="3"/>
        <item x="1"/>
        <item x="10"/>
        <item x="9"/>
        <item x="0"/>
        <item x="5"/>
        <item x="4"/>
        <item x="6"/>
        <item x="2"/>
        <item x="8"/>
        <item t="default"/>
      </items>
    </pivotField>
    <pivotField dataField="1" showAll="0"/>
    <pivotField dataField="1" showAll="0">
      <items count="11">
        <item x="3"/>
        <item x="2"/>
        <item x="1"/>
        <item x="4"/>
        <item x="7"/>
        <item x="0"/>
        <item x="8"/>
        <item x="6"/>
        <item x="9"/>
        <item x="5"/>
        <item t="default"/>
      </items>
    </pivotField>
    <pivotField showAll="0">
      <items count="8">
        <item x="3"/>
        <item x="2"/>
        <item x="6"/>
        <item x="4"/>
        <item x="5"/>
        <item x="1"/>
        <item x="0"/>
        <item t="default"/>
      </items>
    </pivotField>
    <pivotField axis="axisRow" showAll="0">
      <items count="2">
        <item x="0"/>
        <item t="default"/>
      </items>
    </pivotField>
    <pivotField numFmtId="14" showAll="0"/>
  </pivotFields>
  <rowFields count="2">
    <field x="0"/>
    <field x="4"/>
  </rowFields>
  <rowItems count="23">
    <i>
      <x/>
    </i>
    <i r="1">
      <x/>
    </i>
    <i>
      <x v="1"/>
    </i>
    <i r="1">
      <x/>
    </i>
    <i>
      <x v="2"/>
    </i>
    <i r="1">
      <x/>
    </i>
    <i>
      <x v="3"/>
    </i>
    <i r="1">
      <x/>
    </i>
    <i>
      <x v="4"/>
    </i>
    <i r="1">
      <x/>
    </i>
    <i>
      <x v="5"/>
    </i>
    <i r="1">
      <x/>
    </i>
    <i>
      <x v="6"/>
    </i>
    <i r="1">
      <x/>
    </i>
    <i>
      <x v="7"/>
    </i>
    <i r="1">
      <x/>
    </i>
    <i>
      <x v="8"/>
    </i>
    <i r="1">
      <x/>
    </i>
    <i>
      <x v="9"/>
    </i>
    <i r="1">
      <x/>
    </i>
    <i>
      <x v="10"/>
    </i>
    <i r="1">
      <x/>
    </i>
    <i t="grand">
      <x/>
    </i>
  </rowItems>
  <colFields count="1">
    <field x="-2"/>
  </colFields>
  <colItems count="2">
    <i>
      <x/>
    </i>
    <i i="1">
      <x v="1"/>
    </i>
  </colItems>
  <dataFields count="2">
    <dataField name="Sum of Monthly budget" fld="1" baseField="0" baseItem="0"/>
    <dataField name="Sum of Actual spent" fld="2" baseField="0" baseItem="0"/>
  </dataFields>
  <chartFormats count="2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3">
          <reference field="4294967294" count="1" selected="0">
            <x v="0"/>
          </reference>
          <reference field="0" count="1" selected="0">
            <x v="0"/>
          </reference>
          <reference field="4" count="1" selected="0">
            <x v="0"/>
          </reference>
        </references>
      </pivotArea>
    </chartFormat>
    <chartFormat chart="7" format="28">
      <pivotArea type="data" outline="0" fieldPosition="0">
        <references count="3">
          <reference field="4294967294" count="1" selected="0">
            <x v="0"/>
          </reference>
          <reference field="0" count="1" selected="0">
            <x v="1"/>
          </reference>
          <reference field="4" count="1" selected="0">
            <x v="0"/>
          </reference>
        </references>
      </pivotArea>
    </chartFormat>
    <chartFormat chart="7" format="29">
      <pivotArea type="data" outline="0" fieldPosition="0">
        <references count="3">
          <reference field="4294967294" count="1" selected="0">
            <x v="0"/>
          </reference>
          <reference field="0" count="1" selected="0">
            <x v="2"/>
          </reference>
          <reference field="4" count="1" selected="0">
            <x v="0"/>
          </reference>
        </references>
      </pivotArea>
    </chartFormat>
    <chartFormat chart="7" format="30">
      <pivotArea type="data" outline="0" fieldPosition="0">
        <references count="3">
          <reference field="4294967294" count="1" selected="0">
            <x v="0"/>
          </reference>
          <reference field="0" count="1" selected="0">
            <x v="3"/>
          </reference>
          <reference field="4" count="1" selected="0">
            <x v="0"/>
          </reference>
        </references>
      </pivotArea>
    </chartFormat>
    <chartFormat chart="7" format="31">
      <pivotArea type="data" outline="0" fieldPosition="0">
        <references count="3">
          <reference field="4294967294" count="1" selected="0">
            <x v="0"/>
          </reference>
          <reference field="0" count="1" selected="0">
            <x v="4"/>
          </reference>
          <reference field="4" count="1" selected="0">
            <x v="0"/>
          </reference>
        </references>
      </pivotArea>
    </chartFormat>
    <chartFormat chart="7" format="32">
      <pivotArea type="data" outline="0" fieldPosition="0">
        <references count="3">
          <reference field="4294967294" count="1" selected="0">
            <x v="0"/>
          </reference>
          <reference field="0" count="1" selected="0">
            <x v="5"/>
          </reference>
          <reference field="4" count="1" selected="0">
            <x v="0"/>
          </reference>
        </references>
      </pivotArea>
    </chartFormat>
    <chartFormat chart="7" format="33">
      <pivotArea type="data" outline="0" fieldPosition="0">
        <references count="3">
          <reference field="4294967294" count="1" selected="0">
            <x v="0"/>
          </reference>
          <reference field="0" count="1" selected="0">
            <x v="6"/>
          </reference>
          <reference field="4" count="1" selected="0">
            <x v="0"/>
          </reference>
        </references>
      </pivotArea>
    </chartFormat>
    <chartFormat chart="7" format="34">
      <pivotArea type="data" outline="0" fieldPosition="0">
        <references count="3">
          <reference field="4294967294" count="1" selected="0">
            <x v="0"/>
          </reference>
          <reference field="0" count="1" selected="0">
            <x v="7"/>
          </reference>
          <reference field="4" count="1" selected="0">
            <x v="0"/>
          </reference>
        </references>
      </pivotArea>
    </chartFormat>
    <chartFormat chart="7" format="35">
      <pivotArea type="data" outline="0" fieldPosition="0">
        <references count="3">
          <reference field="4294967294" count="1" selected="0">
            <x v="0"/>
          </reference>
          <reference field="0" count="1" selected="0">
            <x v="8"/>
          </reference>
          <reference field="4" count="1" selected="0">
            <x v="0"/>
          </reference>
        </references>
      </pivotArea>
    </chartFormat>
    <chartFormat chart="7" format="36">
      <pivotArea type="data" outline="0" fieldPosition="0">
        <references count="3">
          <reference field="4294967294" count="1" selected="0">
            <x v="0"/>
          </reference>
          <reference field="0" count="1" selected="0">
            <x v="9"/>
          </reference>
          <reference field="4" count="1" selected="0">
            <x v="0"/>
          </reference>
        </references>
      </pivotArea>
    </chartFormat>
    <chartFormat chart="7" format="37">
      <pivotArea type="data" outline="0" fieldPosition="0">
        <references count="3">
          <reference field="4294967294" count="1" selected="0">
            <x v="0"/>
          </reference>
          <reference field="0" count="1" selected="0">
            <x v="10"/>
          </reference>
          <reference field="4" count="1" selected="0">
            <x v="0"/>
          </reference>
        </references>
      </pivotArea>
    </chartFormat>
    <chartFormat chart="7" format="38" series="1">
      <pivotArea type="data" outline="0" fieldPosition="0">
        <references count="1">
          <reference field="4294967294" count="1" selected="0">
            <x v="1"/>
          </reference>
        </references>
      </pivotArea>
    </chartFormat>
    <chartFormat chart="7" format="39">
      <pivotArea type="data" outline="0" fieldPosition="0">
        <references count="3">
          <reference field="4294967294" count="1" selected="0">
            <x v="1"/>
          </reference>
          <reference field="0" count="1" selected="0">
            <x v="0"/>
          </reference>
          <reference field="4" count="1" selected="0">
            <x v="0"/>
          </reference>
        </references>
      </pivotArea>
    </chartFormat>
    <chartFormat chart="7" format="40">
      <pivotArea type="data" outline="0" fieldPosition="0">
        <references count="3">
          <reference field="4294967294" count="1" selected="0">
            <x v="1"/>
          </reference>
          <reference field="0" count="1" selected="0">
            <x v="1"/>
          </reference>
          <reference field="4" count="1" selected="0">
            <x v="0"/>
          </reference>
        </references>
      </pivotArea>
    </chartFormat>
    <chartFormat chart="7" format="41">
      <pivotArea type="data" outline="0" fieldPosition="0">
        <references count="3">
          <reference field="4294967294" count="1" selected="0">
            <x v="1"/>
          </reference>
          <reference field="0" count="1" selected="0">
            <x v="2"/>
          </reference>
          <reference field="4" count="1" selected="0">
            <x v="0"/>
          </reference>
        </references>
      </pivotArea>
    </chartFormat>
    <chartFormat chart="7" format="42">
      <pivotArea type="data" outline="0" fieldPosition="0">
        <references count="3">
          <reference field="4294967294" count="1" selected="0">
            <x v="1"/>
          </reference>
          <reference field="0" count="1" selected="0">
            <x v="3"/>
          </reference>
          <reference field="4" count="1" selected="0">
            <x v="0"/>
          </reference>
        </references>
      </pivotArea>
    </chartFormat>
    <chartFormat chart="7" format="43">
      <pivotArea type="data" outline="0" fieldPosition="0">
        <references count="3">
          <reference field="4294967294" count="1" selected="0">
            <x v="1"/>
          </reference>
          <reference field="0" count="1" selected="0">
            <x v="4"/>
          </reference>
          <reference field="4" count="1" selected="0">
            <x v="0"/>
          </reference>
        </references>
      </pivotArea>
    </chartFormat>
    <chartFormat chart="7" format="44">
      <pivotArea type="data" outline="0" fieldPosition="0">
        <references count="3">
          <reference field="4294967294" count="1" selected="0">
            <x v="1"/>
          </reference>
          <reference field="0" count="1" selected="0">
            <x v="5"/>
          </reference>
          <reference field="4" count="1" selected="0">
            <x v="0"/>
          </reference>
        </references>
      </pivotArea>
    </chartFormat>
    <chartFormat chart="7" format="45">
      <pivotArea type="data" outline="0" fieldPosition="0">
        <references count="3">
          <reference field="4294967294" count="1" selected="0">
            <x v="1"/>
          </reference>
          <reference field="0" count="1" selected="0">
            <x v="6"/>
          </reference>
          <reference field="4" count="1" selected="0">
            <x v="0"/>
          </reference>
        </references>
      </pivotArea>
    </chartFormat>
    <chartFormat chart="7" format="46">
      <pivotArea type="data" outline="0" fieldPosition="0">
        <references count="3">
          <reference field="4294967294" count="1" selected="0">
            <x v="1"/>
          </reference>
          <reference field="0" count="1" selected="0">
            <x v="7"/>
          </reference>
          <reference field="4" count="1" selected="0">
            <x v="0"/>
          </reference>
        </references>
      </pivotArea>
    </chartFormat>
    <chartFormat chart="7" format="47">
      <pivotArea type="data" outline="0" fieldPosition="0">
        <references count="3">
          <reference field="4294967294" count="1" selected="0">
            <x v="1"/>
          </reference>
          <reference field="0" count="1" selected="0">
            <x v="8"/>
          </reference>
          <reference field="4" count="1" selected="0">
            <x v="0"/>
          </reference>
        </references>
      </pivotArea>
    </chartFormat>
    <chartFormat chart="7" format="48">
      <pivotArea type="data" outline="0" fieldPosition="0">
        <references count="3">
          <reference field="4294967294" count="1" selected="0">
            <x v="1"/>
          </reference>
          <reference field="0" count="1" selected="0">
            <x v="9"/>
          </reference>
          <reference field="4" count="1" selected="0">
            <x v="0"/>
          </reference>
        </references>
      </pivotArea>
    </chartFormat>
    <chartFormat chart="7" format="49">
      <pivotArea type="data" outline="0" fieldPosition="0">
        <references count="3">
          <reference field="4294967294" count="1" selected="0">
            <x v="1"/>
          </reference>
          <reference field="0" count="1" selected="0">
            <x v="1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F4F3F5-CE66-410F-9AE8-AA0B56A6FB56}" sourceName="Category">
  <pivotTables>
    <pivotTable tabId="3" name="PivotTable1"/>
    <pivotTable tabId="3" name="PivotTable3"/>
    <pivotTable tabId="3" name="PivotTable4"/>
    <pivotTable tabId="3" name="PivotTable5"/>
  </pivotTables>
  <data>
    <tabular pivotCacheId="338927687">
      <items count="11">
        <i x="7" s="1"/>
        <i x="3" s="1"/>
        <i x="1" s="1"/>
        <i x="10" s="1"/>
        <i x="9" s="1"/>
        <i x="0" s="1"/>
        <i x="5" s="1"/>
        <i x="4" s="1"/>
        <i x="6"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spent" xr10:uid="{ECD77577-6C72-4C04-B5DF-DCD8256A06EF}" sourceName="Actual spent">
  <pivotTables>
    <pivotTable tabId="3" name="PivotTable1"/>
    <pivotTable tabId="3" name="PivotTable3"/>
    <pivotTable tabId="3" name="PivotTable4"/>
    <pivotTable tabId="3" name="PivotTable5"/>
  </pivotTables>
  <data>
    <tabular pivotCacheId="338927687">
      <items count="10">
        <i x="3" s="1"/>
        <i x="2" s="1"/>
        <i x="1" s="1"/>
        <i x="4" s="1"/>
        <i x="7" s="1"/>
        <i x="0" s="1"/>
        <i x="8" s="1"/>
        <i x="6"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ining" xr10:uid="{C2418257-0C6A-4337-9DE7-E3E0186EA64C}" sourceName="Remaining">
  <pivotTables>
    <pivotTable tabId="3" name="PivotTable1"/>
    <pivotTable tabId="3" name="PivotTable3"/>
    <pivotTable tabId="3" name="PivotTable4"/>
    <pivotTable tabId="3" name="PivotTable5"/>
  </pivotTables>
  <data>
    <tabular pivotCacheId="338927687">
      <items count="7">
        <i x="3" s="1"/>
        <i x="2" s="1"/>
        <i x="6" s="1"/>
        <i x="4"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AA7B019-79D1-4A1B-90B1-4241E54F1A88}" cache="Slicer_Category" caption="Category" rowHeight="247650"/>
  <slicer name="Actual spent" xr10:uid="{291D3618-DF24-42D1-9B88-CC1F5A8A0D36}" cache="Slicer_Actual_spent" caption="Actual spent" rowHeight="247650"/>
  <slicer name="Remaining" xr10:uid="{2289C4A1-9836-4FE9-A210-94E3F7F02CDA}" cache="Slicer_Remaining" caption="Remaining"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D42A36F-AE5E-4832-94E9-2915ED9DBC1B}" cache="Slicer_Category" caption="Category" rowHeight="247650"/>
  <slicer name="Actual spent 1" xr10:uid="{5330BA34-7364-402C-A556-DFFEA121350D}" cache="Slicer_Actual_spent" caption="Actual spent" rowHeight="247650"/>
  <slicer name="Remaining 1" xr10:uid="{FF0C8C68-C1FE-488E-9521-1097207B142E}" cache="Slicer_Remaining" caption="Remaining"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070A-9D10-41E8-8456-216FDF44E570}">
  <dimension ref="A1:F12"/>
  <sheetViews>
    <sheetView workbookViewId="0">
      <selection activeCell="C21" sqref="C21"/>
    </sheetView>
  </sheetViews>
  <sheetFormatPr defaultRowHeight="14.4" x14ac:dyDescent="0.3"/>
  <cols>
    <col min="1" max="1" width="15.5546875" customWidth="1"/>
    <col min="2" max="2" width="18" customWidth="1"/>
    <col min="3" max="3" width="20" customWidth="1"/>
    <col min="4" max="4" width="20.88671875" customWidth="1"/>
    <col min="5" max="5" width="17.88671875" customWidth="1"/>
    <col min="6" max="6" width="17.5546875" customWidth="1"/>
  </cols>
  <sheetData>
    <row r="1" spans="1:6" x14ac:dyDescent="0.3">
      <c r="A1" t="s">
        <v>0</v>
      </c>
      <c r="B1" t="s">
        <v>1</v>
      </c>
      <c r="C1" t="s">
        <v>2</v>
      </c>
      <c r="D1" t="s">
        <v>4</v>
      </c>
      <c r="E1" t="s">
        <v>3</v>
      </c>
      <c r="F1" t="s">
        <v>5</v>
      </c>
    </row>
    <row r="2" spans="1:6" x14ac:dyDescent="0.3">
      <c r="A2" s="1">
        <v>45658</v>
      </c>
      <c r="B2" t="s">
        <v>6</v>
      </c>
      <c r="C2" t="s">
        <v>17</v>
      </c>
      <c r="D2" t="s">
        <v>19</v>
      </c>
      <c r="E2">
        <v>4500</v>
      </c>
      <c r="F2" t="str">
        <f>TEXT(A2,"mmmm")</f>
        <v>January</v>
      </c>
    </row>
    <row r="3" spans="1:6" x14ac:dyDescent="0.3">
      <c r="A3" s="1">
        <v>45659</v>
      </c>
      <c r="B3" t="s">
        <v>7</v>
      </c>
      <c r="C3" t="s">
        <v>17</v>
      </c>
      <c r="D3" t="s">
        <v>20</v>
      </c>
      <c r="E3">
        <v>1500</v>
      </c>
      <c r="F3" t="str">
        <f t="shared" ref="F3:F12" si="0">TEXT(A3,"mmmm")</f>
        <v>January</v>
      </c>
    </row>
    <row r="4" spans="1:6" x14ac:dyDescent="0.3">
      <c r="A4" s="1">
        <v>45660</v>
      </c>
      <c r="B4" t="s">
        <v>8</v>
      </c>
      <c r="C4" t="s">
        <v>17</v>
      </c>
      <c r="D4" t="s">
        <v>21</v>
      </c>
      <c r="E4">
        <v>500</v>
      </c>
      <c r="F4" t="str">
        <f t="shared" si="0"/>
        <v>January</v>
      </c>
    </row>
    <row r="5" spans="1:6" x14ac:dyDescent="0.3">
      <c r="A5" s="1">
        <v>45661</v>
      </c>
      <c r="B5" t="s">
        <v>9</v>
      </c>
      <c r="C5" t="s">
        <v>17</v>
      </c>
      <c r="D5" t="s">
        <v>22</v>
      </c>
      <c r="E5">
        <v>500</v>
      </c>
      <c r="F5" t="str">
        <f t="shared" si="0"/>
        <v>January</v>
      </c>
    </row>
    <row r="6" spans="1:6" x14ac:dyDescent="0.3">
      <c r="A6" s="1">
        <v>45662</v>
      </c>
      <c r="B6" t="s">
        <v>10</v>
      </c>
      <c r="C6" t="s">
        <v>10</v>
      </c>
      <c r="D6" t="s">
        <v>23</v>
      </c>
      <c r="E6">
        <v>1000</v>
      </c>
      <c r="F6" t="str">
        <f t="shared" si="0"/>
        <v>January</v>
      </c>
    </row>
    <row r="7" spans="1:6" x14ac:dyDescent="0.3">
      <c r="A7" s="1">
        <v>45663</v>
      </c>
      <c r="B7" t="s">
        <v>16</v>
      </c>
      <c r="C7" t="s">
        <v>18</v>
      </c>
      <c r="D7" t="s">
        <v>24</v>
      </c>
      <c r="E7">
        <v>40000</v>
      </c>
      <c r="F7" t="str">
        <f t="shared" si="0"/>
        <v>January</v>
      </c>
    </row>
    <row r="8" spans="1:6" x14ac:dyDescent="0.3">
      <c r="A8" s="1">
        <v>45664</v>
      </c>
      <c r="B8" t="s">
        <v>11</v>
      </c>
      <c r="C8" t="s">
        <v>17</v>
      </c>
      <c r="D8" t="s">
        <v>25</v>
      </c>
      <c r="E8">
        <v>2000</v>
      </c>
      <c r="F8" t="str">
        <f t="shared" si="0"/>
        <v>January</v>
      </c>
    </row>
    <row r="9" spans="1:6" x14ac:dyDescent="0.3">
      <c r="A9" s="1">
        <v>45665</v>
      </c>
      <c r="B9" t="s">
        <v>12</v>
      </c>
      <c r="C9" t="s">
        <v>17</v>
      </c>
      <c r="D9" t="s">
        <v>26</v>
      </c>
      <c r="E9">
        <v>1500</v>
      </c>
      <c r="F9" t="str">
        <f t="shared" si="0"/>
        <v>January</v>
      </c>
    </row>
    <row r="10" spans="1:6" x14ac:dyDescent="0.3">
      <c r="A10" s="1">
        <v>45666</v>
      </c>
      <c r="B10" t="s">
        <v>13</v>
      </c>
      <c r="C10" t="s">
        <v>17</v>
      </c>
      <c r="D10" t="s">
        <v>27</v>
      </c>
      <c r="E10">
        <v>700</v>
      </c>
      <c r="F10" t="str">
        <f t="shared" si="0"/>
        <v>January</v>
      </c>
    </row>
    <row r="11" spans="1:6" x14ac:dyDescent="0.3">
      <c r="A11" s="1">
        <v>45667</v>
      </c>
      <c r="B11" t="s">
        <v>14</v>
      </c>
      <c r="C11" t="s">
        <v>17</v>
      </c>
      <c r="D11" t="s">
        <v>28</v>
      </c>
      <c r="E11">
        <v>900</v>
      </c>
      <c r="F11" t="str">
        <f t="shared" si="0"/>
        <v>January</v>
      </c>
    </row>
    <row r="12" spans="1:6" x14ac:dyDescent="0.3">
      <c r="A12" s="1">
        <v>45668</v>
      </c>
      <c r="B12" t="s">
        <v>15</v>
      </c>
      <c r="C12" t="s">
        <v>18</v>
      </c>
      <c r="D12" t="s">
        <v>29</v>
      </c>
      <c r="E12">
        <v>6000</v>
      </c>
      <c r="F12" t="str">
        <f t="shared" si="0"/>
        <v>January</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3073-EB99-4D7A-9C66-B2B37646AA28}">
  <dimension ref="A3:P26"/>
  <sheetViews>
    <sheetView topLeftCell="A2" workbookViewId="0">
      <selection activeCell="D31" sqref="D31:J46"/>
    </sheetView>
  </sheetViews>
  <sheetFormatPr defaultRowHeight="14.4" x14ac:dyDescent="0.3"/>
  <cols>
    <col min="1" max="1" width="14.5546875" bestFit="1" customWidth="1"/>
    <col min="2" max="2" width="19.88671875" bestFit="1" customWidth="1"/>
    <col min="3" max="3" width="17.5546875" bestFit="1" customWidth="1"/>
    <col min="5" max="5" width="12.44140625" bestFit="1" customWidth="1"/>
    <col min="6" max="6" width="19.88671875" bestFit="1" customWidth="1"/>
    <col min="7" max="7" width="15.88671875" bestFit="1" customWidth="1"/>
    <col min="9" max="9" width="12.44140625" bestFit="1" customWidth="1"/>
    <col min="10" max="10" width="19.88671875" bestFit="1" customWidth="1"/>
    <col min="11" max="11" width="17.5546875" bestFit="1" customWidth="1"/>
    <col min="13" max="13" width="12.44140625" bestFit="1" customWidth="1"/>
    <col min="14" max="14" width="19.88671875" bestFit="1" customWidth="1"/>
    <col min="15" max="15" width="17.5546875" bestFit="1" customWidth="1"/>
    <col min="16" max="16" width="15.88671875" bestFit="1" customWidth="1"/>
  </cols>
  <sheetData>
    <row r="3" spans="1:16" x14ac:dyDescent="0.3">
      <c r="A3" s="2" t="s">
        <v>34</v>
      </c>
      <c r="B3" t="s">
        <v>36</v>
      </c>
      <c r="C3" t="s">
        <v>37</v>
      </c>
    </row>
    <row r="4" spans="1:16" x14ac:dyDescent="0.3">
      <c r="A4" s="3" t="s">
        <v>12</v>
      </c>
      <c r="B4" s="4">
        <v>900</v>
      </c>
      <c r="C4" s="4">
        <v>700</v>
      </c>
      <c r="E4" s="2" t="s">
        <v>34</v>
      </c>
      <c r="F4" t="s">
        <v>36</v>
      </c>
      <c r="G4" t="s">
        <v>38</v>
      </c>
    </row>
    <row r="5" spans="1:16" x14ac:dyDescent="0.3">
      <c r="A5" s="5" t="s">
        <v>30</v>
      </c>
      <c r="B5" s="4">
        <v>900</v>
      </c>
      <c r="C5" s="4">
        <v>700</v>
      </c>
      <c r="E5" s="3" t="s">
        <v>12</v>
      </c>
      <c r="F5" s="4">
        <v>900</v>
      </c>
      <c r="G5" s="4">
        <v>200</v>
      </c>
      <c r="I5" s="2" t="s">
        <v>34</v>
      </c>
      <c r="J5" t="s">
        <v>36</v>
      </c>
      <c r="K5" t="s">
        <v>37</v>
      </c>
      <c r="M5" s="2" t="s">
        <v>34</v>
      </c>
      <c r="N5" t="s">
        <v>36</v>
      </c>
      <c r="O5" t="s">
        <v>37</v>
      </c>
      <c r="P5" t="s">
        <v>38</v>
      </c>
    </row>
    <row r="6" spans="1:16" x14ac:dyDescent="0.3">
      <c r="A6" s="3" t="s">
        <v>9</v>
      </c>
      <c r="B6" s="4">
        <v>150</v>
      </c>
      <c r="C6" s="4">
        <v>100</v>
      </c>
      <c r="E6" s="3" t="s">
        <v>9</v>
      </c>
      <c r="F6" s="4">
        <v>150</v>
      </c>
      <c r="G6" s="4">
        <v>50</v>
      </c>
      <c r="I6" s="3" t="s">
        <v>12</v>
      </c>
      <c r="J6" s="4">
        <v>900</v>
      </c>
      <c r="K6" s="4">
        <v>700</v>
      </c>
      <c r="M6" s="3" t="s">
        <v>12</v>
      </c>
      <c r="N6" s="4">
        <v>900</v>
      </c>
      <c r="O6" s="4">
        <v>700</v>
      </c>
      <c r="P6" s="4">
        <v>200</v>
      </c>
    </row>
    <row r="7" spans="1:16" x14ac:dyDescent="0.3">
      <c r="A7" s="5" t="s">
        <v>30</v>
      </c>
      <c r="B7" s="4">
        <v>150</v>
      </c>
      <c r="C7" s="4">
        <v>100</v>
      </c>
      <c r="E7" s="3" t="s">
        <v>7</v>
      </c>
      <c r="F7" s="4">
        <v>500</v>
      </c>
      <c r="G7" s="4">
        <v>250</v>
      </c>
      <c r="I7" s="3" t="s">
        <v>9</v>
      </c>
      <c r="J7" s="4">
        <v>150</v>
      </c>
      <c r="K7" s="4">
        <v>100</v>
      </c>
      <c r="M7" s="3" t="s">
        <v>9</v>
      </c>
      <c r="N7" s="4">
        <v>150</v>
      </c>
      <c r="O7" s="4">
        <v>100</v>
      </c>
      <c r="P7" s="4">
        <v>50</v>
      </c>
    </row>
    <row r="8" spans="1:16" x14ac:dyDescent="0.3">
      <c r="A8" s="3" t="s">
        <v>7</v>
      </c>
      <c r="B8" s="4">
        <v>500</v>
      </c>
      <c r="C8" s="4">
        <v>250</v>
      </c>
      <c r="E8" s="3" t="s">
        <v>15</v>
      </c>
      <c r="F8" s="4">
        <v>800</v>
      </c>
      <c r="G8" s="4">
        <v>70</v>
      </c>
      <c r="I8" s="3" t="s">
        <v>7</v>
      </c>
      <c r="J8" s="4">
        <v>500</v>
      </c>
      <c r="K8" s="4">
        <v>250</v>
      </c>
      <c r="M8" s="3" t="s">
        <v>7</v>
      </c>
      <c r="N8" s="4">
        <v>500</v>
      </c>
      <c r="O8" s="4">
        <v>250</v>
      </c>
      <c r="P8" s="4">
        <v>250</v>
      </c>
    </row>
    <row r="9" spans="1:16" x14ac:dyDescent="0.3">
      <c r="A9" s="5" t="s">
        <v>30</v>
      </c>
      <c r="B9" s="4">
        <v>500</v>
      </c>
      <c r="C9" s="4">
        <v>250</v>
      </c>
      <c r="E9" s="3" t="s">
        <v>14</v>
      </c>
      <c r="F9" s="4">
        <v>650</v>
      </c>
      <c r="G9" s="4">
        <v>100</v>
      </c>
      <c r="I9" s="3" t="s">
        <v>15</v>
      </c>
      <c r="J9" s="4">
        <v>800</v>
      </c>
      <c r="K9" s="4">
        <v>730</v>
      </c>
      <c r="M9" s="3" t="s">
        <v>15</v>
      </c>
      <c r="N9" s="4">
        <v>800</v>
      </c>
      <c r="O9" s="4">
        <v>730</v>
      </c>
      <c r="P9" s="4">
        <v>70</v>
      </c>
    </row>
    <row r="10" spans="1:16" x14ac:dyDescent="0.3">
      <c r="A10" s="3" t="s">
        <v>15</v>
      </c>
      <c r="B10" s="4">
        <v>800</v>
      </c>
      <c r="C10" s="4">
        <v>730</v>
      </c>
      <c r="E10" s="3" t="s">
        <v>6</v>
      </c>
      <c r="F10" s="4">
        <v>1000</v>
      </c>
      <c r="G10" s="4">
        <v>500</v>
      </c>
      <c r="I10" s="3" t="s">
        <v>14</v>
      </c>
      <c r="J10" s="4">
        <v>650</v>
      </c>
      <c r="K10" s="4">
        <v>550</v>
      </c>
      <c r="M10" s="3" t="s">
        <v>14</v>
      </c>
      <c r="N10" s="4">
        <v>650</v>
      </c>
      <c r="O10" s="4">
        <v>550</v>
      </c>
      <c r="P10" s="4">
        <v>100</v>
      </c>
    </row>
    <row r="11" spans="1:16" x14ac:dyDescent="0.3">
      <c r="A11" s="5" t="s">
        <v>30</v>
      </c>
      <c r="B11" s="4">
        <v>800</v>
      </c>
      <c r="C11" s="4">
        <v>730</v>
      </c>
      <c r="E11" s="3" t="s">
        <v>16</v>
      </c>
      <c r="F11" s="4">
        <v>3000</v>
      </c>
      <c r="G11" s="4">
        <v>500</v>
      </c>
      <c r="I11" s="3" t="s">
        <v>6</v>
      </c>
      <c r="J11" s="4">
        <v>1000</v>
      </c>
      <c r="K11" s="4">
        <v>500</v>
      </c>
      <c r="M11" s="3" t="s">
        <v>6</v>
      </c>
      <c r="N11" s="4">
        <v>1000</v>
      </c>
      <c r="O11" s="4">
        <v>500</v>
      </c>
      <c r="P11" s="4">
        <v>500</v>
      </c>
    </row>
    <row r="12" spans="1:16" x14ac:dyDescent="0.3">
      <c r="A12" s="3" t="s">
        <v>14</v>
      </c>
      <c r="B12" s="4">
        <v>650</v>
      </c>
      <c r="C12" s="4">
        <v>550</v>
      </c>
      <c r="E12" s="3" t="s">
        <v>10</v>
      </c>
      <c r="F12" s="4">
        <v>300</v>
      </c>
      <c r="G12" s="4">
        <v>0</v>
      </c>
      <c r="I12" s="3" t="s">
        <v>16</v>
      </c>
      <c r="J12" s="4">
        <v>3000</v>
      </c>
      <c r="K12" s="4">
        <v>2500</v>
      </c>
      <c r="M12" s="3" t="s">
        <v>16</v>
      </c>
      <c r="N12" s="4">
        <v>3000</v>
      </c>
      <c r="O12" s="4">
        <v>2500</v>
      </c>
      <c r="P12" s="4">
        <v>500</v>
      </c>
    </row>
    <row r="13" spans="1:16" x14ac:dyDescent="0.3">
      <c r="A13" s="5" t="s">
        <v>30</v>
      </c>
      <c r="B13" s="4">
        <v>650</v>
      </c>
      <c r="C13" s="4">
        <v>550</v>
      </c>
      <c r="E13" s="3" t="s">
        <v>11</v>
      </c>
      <c r="F13" s="4">
        <v>400</v>
      </c>
      <c r="G13" s="4">
        <v>100</v>
      </c>
      <c r="I13" s="3" t="s">
        <v>10</v>
      </c>
      <c r="J13" s="4">
        <v>300</v>
      </c>
      <c r="K13" s="4">
        <v>300</v>
      </c>
      <c r="M13" s="3" t="s">
        <v>10</v>
      </c>
      <c r="N13" s="4">
        <v>300</v>
      </c>
      <c r="O13" s="4">
        <v>300</v>
      </c>
      <c r="P13" s="4">
        <v>0</v>
      </c>
    </row>
    <row r="14" spans="1:16" x14ac:dyDescent="0.3">
      <c r="A14" s="3" t="s">
        <v>6</v>
      </c>
      <c r="B14" s="4">
        <v>1000</v>
      </c>
      <c r="C14" s="4">
        <v>500</v>
      </c>
      <c r="E14" s="3" t="s">
        <v>8</v>
      </c>
      <c r="F14" s="4">
        <v>200</v>
      </c>
      <c r="G14" s="4">
        <v>50</v>
      </c>
      <c r="I14" s="3" t="s">
        <v>11</v>
      </c>
      <c r="J14" s="4">
        <v>400</v>
      </c>
      <c r="K14" s="4">
        <v>300</v>
      </c>
      <c r="M14" s="3" t="s">
        <v>11</v>
      </c>
      <c r="N14" s="4">
        <v>400</v>
      </c>
      <c r="O14" s="4">
        <v>300</v>
      </c>
      <c r="P14" s="4">
        <v>100</v>
      </c>
    </row>
    <row r="15" spans="1:16" x14ac:dyDescent="0.3">
      <c r="A15" s="5" t="s">
        <v>30</v>
      </c>
      <c r="B15" s="4">
        <v>1000</v>
      </c>
      <c r="C15" s="4">
        <v>500</v>
      </c>
      <c r="E15" s="3" t="s">
        <v>13</v>
      </c>
      <c r="F15" s="4">
        <v>400</v>
      </c>
      <c r="G15" s="4">
        <v>50</v>
      </c>
      <c r="I15" s="3" t="s">
        <v>8</v>
      </c>
      <c r="J15" s="4">
        <v>200</v>
      </c>
      <c r="K15" s="4">
        <v>150</v>
      </c>
      <c r="M15" s="3" t="s">
        <v>8</v>
      </c>
      <c r="N15" s="4">
        <v>200</v>
      </c>
      <c r="O15" s="4">
        <v>150</v>
      </c>
      <c r="P15" s="4">
        <v>50</v>
      </c>
    </row>
    <row r="16" spans="1:16" x14ac:dyDescent="0.3">
      <c r="A16" s="3" t="s">
        <v>16</v>
      </c>
      <c r="B16" s="4">
        <v>3000</v>
      </c>
      <c r="C16" s="4">
        <v>2500</v>
      </c>
      <c r="E16" s="3" t="s">
        <v>35</v>
      </c>
      <c r="F16" s="4">
        <v>8300</v>
      </c>
      <c r="G16" s="4">
        <v>1870</v>
      </c>
      <c r="I16" s="3" t="s">
        <v>13</v>
      </c>
      <c r="J16" s="4">
        <v>400</v>
      </c>
      <c r="K16" s="4">
        <v>350</v>
      </c>
      <c r="M16" s="3" t="s">
        <v>13</v>
      </c>
      <c r="N16" s="4">
        <v>400</v>
      </c>
      <c r="O16" s="4">
        <v>350</v>
      </c>
      <c r="P16" s="4">
        <v>50</v>
      </c>
    </row>
    <row r="17" spans="1:16" x14ac:dyDescent="0.3">
      <c r="A17" s="5" t="s">
        <v>30</v>
      </c>
      <c r="B17" s="4">
        <v>3000</v>
      </c>
      <c r="C17" s="4">
        <v>2500</v>
      </c>
      <c r="I17" s="3" t="s">
        <v>35</v>
      </c>
      <c r="J17" s="4">
        <v>8300</v>
      </c>
      <c r="K17" s="4">
        <v>6430</v>
      </c>
      <c r="M17" s="3" t="s">
        <v>35</v>
      </c>
      <c r="N17" s="4">
        <v>8300</v>
      </c>
      <c r="O17" s="4">
        <v>6430</v>
      </c>
      <c r="P17" s="4">
        <v>1870</v>
      </c>
    </row>
    <row r="18" spans="1:16" x14ac:dyDescent="0.3">
      <c r="A18" s="3" t="s">
        <v>10</v>
      </c>
      <c r="B18" s="4">
        <v>300</v>
      </c>
      <c r="C18" s="4">
        <v>300</v>
      </c>
    </row>
    <row r="19" spans="1:16" x14ac:dyDescent="0.3">
      <c r="A19" s="5" t="s">
        <v>30</v>
      </c>
      <c r="B19" s="4">
        <v>300</v>
      </c>
      <c r="C19" s="4">
        <v>300</v>
      </c>
    </row>
    <row r="20" spans="1:16" x14ac:dyDescent="0.3">
      <c r="A20" s="3" t="s">
        <v>11</v>
      </c>
      <c r="B20" s="4">
        <v>400</v>
      </c>
      <c r="C20" s="4">
        <v>300</v>
      </c>
    </row>
    <row r="21" spans="1:16" x14ac:dyDescent="0.3">
      <c r="A21" s="5" t="s">
        <v>30</v>
      </c>
      <c r="B21" s="4">
        <v>400</v>
      </c>
      <c r="C21" s="4">
        <v>300</v>
      </c>
    </row>
    <row r="22" spans="1:16" x14ac:dyDescent="0.3">
      <c r="A22" s="3" t="s">
        <v>8</v>
      </c>
      <c r="B22" s="4">
        <v>200</v>
      </c>
      <c r="C22" s="4">
        <v>150</v>
      </c>
    </row>
    <row r="23" spans="1:16" x14ac:dyDescent="0.3">
      <c r="A23" s="5" t="s">
        <v>30</v>
      </c>
      <c r="B23" s="4">
        <v>200</v>
      </c>
      <c r="C23" s="4">
        <v>150</v>
      </c>
    </row>
    <row r="24" spans="1:16" x14ac:dyDescent="0.3">
      <c r="A24" s="3" t="s">
        <v>13</v>
      </c>
      <c r="B24" s="4">
        <v>400</v>
      </c>
      <c r="C24" s="4">
        <v>350</v>
      </c>
    </row>
    <row r="25" spans="1:16" x14ac:dyDescent="0.3">
      <c r="A25" s="5" t="s">
        <v>30</v>
      </c>
      <c r="B25" s="4">
        <v>400</v>
      </c>
      <c r="C25" s="4">
        <v>350</v>
      </c>
    </row>
    <row r="26" spans="1:16" x14ac:dyDescent="0.3">
      <c r="A26" s="3" t="s">
        <v>35</v>
      </c>
      <c r="B26" s="4">
        <v>8300</v>
      </c>
      <c r="C26" s="4">
        <v>6430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D6B6-4D18-43BD-9420-EAD8F27C26DF}">
  <dimension ref="A1"/>
  <sheetViews>
    <sheetView tabSelected="1" topLeftCell="A14" workbookViewId="0">
      <selection activeCell="S33" sqref="S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318F-DBFD-4793-804B-564BB34FDB48}">
  <dimension ref="A1:F12"/>
  <sheetViews>
    <sheetView workbookViewId="0">
      <selection sqref="A1:F12"/>
    </sheetView>
  </sheetViews>
  <sheetFormatPr defaultRowHeight="14.4" x14ac:dyDescent="0.3"/>
  <cols>
    <col min="1" max="1" width="16.6640625" customWidth="1"/>
    <col min="2" max="2" width="17.5546875" customWidth="1"/>
    <col min="3" max="3" width="17.6640625" customWidth="1"/>
    <col min="4" max="4" width="18" customWidth="1"/>
    <col min="5" max="5" width="19.6640625" customWidth="1"/>
    <col min="6" max="6" width="16.6640625" customWidth="1"/>
  </cols>
  <sheetData>
    <row r="1" spans="1:6" x14ac:dyDescent="0.3">
      <c r="A1" t="s">
        <v>1</v>
      </c>
      <c r="B1" t="s">
        <v>31</v>
      </c>
      <c r="C1" t="s">
        <v>32</v>
      </c>
      <c r="D1" t="s">
        <v>33</v>
      </c>
      <c r="E1" t="s">
        <v>5</v>
      </c>
      <c r="F1" t="s">
        <v>0</v>
      </c>
    </row>
    <row r="2" spans="1:6" x14ac:dyDescent="0.3">
      <c r="A2" t="s">
        <v>6</v>
      </c>
      <c r="B2">
        <v>1000</v>
      </c>
      <c r="C2">
        <v>500</v>
      </c>
      <c r="D2">
        <f>B2-C2</f>
        <v>500</v>
      </c>
      <c r="E2" t="str">
        <f>TEXT(F2,"mmmm")</f>
        <v>January</v>
      </c>
      <c r="F2" s="1">
        <v>45658</v>
      </c>
    </row>
    <row r="3" spans="1:6" x14ac:dyDescent="0.3">
      <c r="A3" t="s">
        <v>7</v>
      </c>
      <c r="B3">
        <v>500</v>
      </c>
      <c r="C3">
        <v>250</v>
      </c>
      <c r="D3">
        <f t="shared" ref="D3:D12" si="0">B3-C3</f>
        <v>250</v>
      </c>
      <c r="E3" t="str">
        <f t="shared" ref="E3:E12" si="1">TEXT(F3,"mmmm")</f>
        <v>January</v>
      </c>
      <c r="F3" s="1">
        <v>45659</v>
      </c>
    </row>
    <row r="4" spans="1:6" x14ac:dyDescent="0.3">
      <c r="A4" t="s">
        <v>8</v>
      </c>
      <c r="B4">
        <v>200</v>
      </c>
      <c r="C4">
        <v>150</v>
      </c>
      <c r="D4">
        <f t="shared" si="0"/>
        <v>50</v>
      </c>
      <c r="E4" t="str">
        <f t="shared" si="1"/>
        <v>January</v>
      </c>
      <c r="F4" s="1">
        <v>45660</v>
      </c>
    </row>
    <row r="5" spans="1:6" x14ac:dyDescent="0.3">
      <c r="A5" t="s">
        <v>9</v>
      </c>
      <c r="B5">
        <v>150</v>
      </c>
      <c r="C5">
        <v>100</v>
      </c>
      <c r="D5">
        <f t="shared" si="0"/>
        <v>50</v>
      </c>
      <c r="E5" t="str">
        <f t="shared" si="1"/>
        <v>January</v>
      </c>
      <c r="F5" s="1">
        <v>45661</v>
      </c>
    </row>
    <row r="6" spans="1:6" x14ac:dyDescent="0.3">
      <c r="A6" t="s">
        <v>10</v>
      </c>
      <c r="B6">
        <v>300</v>
      </c>
      <c r="C6">
        <v>300</v>
      </c>
      <c r="D6">
        <f t="shared" si="0"/>
        <v>0</v>
      </c>
      <c r="E6" t="str">
        <f t="shared" si="1"/>
        <v>January</v>
      </c>
      <c r="F6" s="1">
        <v>45662</v>
      </c>
    </row>
    <row r="7" spans="1:6" x14ac:dyDescent="0.3">
      <c r="A7" t="s">
        <v>16</v>
      </c>
      <c r="B7">
        <v>3000</v>
      </c>
      <c r="C7">
        <v>2500</v>
      </c>
      <c r="D7">
        <f t="shared" si="0"/>
        <v>500</v>
      </c>
      <c r="E7" t="str">
        <f t="shared" si="1"/>
        <v>January</v>
      </c>
      <c r="F7" s="1">
        <v>45663</v>
      </c>
    </row>
    <row r="8" spans="1:6" x14ac:dyDescent="0.3">
      <c r="A8" t="s">
        <v>11</v>
      </c>
      <c r="B8">
        <v>400</v>
      </c>
      <c r="C8">
        <v>300</v>
      </c>
      <c r="D8">
        <f t="shared" si="0"/>
        <v>100</v>
      </c>
      <c r="E8" t="str">
        <f t="shared" si="1"/>
        <v>January</v>
      </c>
      <c r="F8" s="1">
        <v>45664</v>
      </c>
    </row>
    <row r="9" spans="1:6" x14ac:dyDescent="0.3">
      <c r="A9" t="s">
        <v>12</v>
      </c>
      <c r="B9">
        <v>900</v>
      </c>
      <c r="C9">
        <v>700</v>
      </c>
      <c r="D9">
        <f t="shared" si="0"/>
        <v>200</v>
      </c>
      <c r="E9" t="str">
        <f t="shared" si="1"/>
        <v>January</v>
      </c>
      <c r="F9" s="1">
        <v>45665</v>
      </c>
    </row>
    <row r="10" spans="1:6" x14ac:dyDescent="0.3">
      <c r="A10" t="s">
        <v>13</v>
      </c>
      <c r="B10">
        <v>400</v>
      </c>
      <c r="C10">
        <v>350</v>
      </c>
      <c r="D10">
        <f t="shared" si="0"/>
        <v>50</v>
      </c>
      <c r="E10" t="str">
        <f t="shared" si="1"/>
        <v>January</v>
      </c>
      <c r="F10" s="1">
        <v>45666</v>
      </c>
    </row>
    <row r="11" spans="1:6" x14ac:dyDescent="0.3">
      <c r="A11" t="s">
        <v>14</v>
      </c>
      <c r="B11">
        <v>650</v>
      </c>
      <c r="C11">
        <v>550</v>
      </c>
      <c r="D11">
        <f t="shared" si="0"/>
        <v>100</v>
      </c>
      <c r="E11" t="str">
        <f t="shared" si="1"/>
        <v>January</v>
      </c>
      <c r="F11" s="1">
        <v>45667</v>
      </c>
    </row>
    <row r="12" spans="1:6" x14ac:dyDescent="0.3">
      <c r="A12" t="s">
        <v>15</v>
      </c>
      <c r="B12">
        <v>800</v>
      </c>
      <c r="C12">
        <v>730</v>
      </c>
      <c r="D12">
        <f t="shared" si="0"/>
        <v>70</v>
      </c>
      <c r="E12" t="str">
        <f t="shared" si="1"/>
        <v>January</v>
      </c>
      <c r="F12" s="1">
        <v>45668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Sheet2</vt:lpstr>
      <vt:lpstr>Sheet4</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 KOMALI GOPU</dc:creator>
  <cp:lastModifiedBy>VIJAYA KOMALI GOPU</cp:lastModifiedBy>
  <dcterms:created xsi:type="dcterms:W3CDTF">2026-01-20T07:48:45Z</dcterms:created>
  <dcterms:modified xsi:type="dcterms:W3CDTF">2026-01-21T05:03:50Z</dcterms:modified>
</cp:coreProperties>
</file>